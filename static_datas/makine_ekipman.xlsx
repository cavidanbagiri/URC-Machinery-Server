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1fe5aacb7ac7d7/İş masası/"/>
    </mc:Choice>
  </mc:AlternateContent>
  <xr:revisionPtr revIDLastSave="32" documentId="8_{608095CC-CB89-475A-862E-1E334715ED3B}" xr6:coauthVersionLast="47" xr6:coauthVersionMax="47" xr10:uidLastSave="{87F3AC7D-5489-4CF6-A3A8-C275CB65505F}"/>
  <bookViews>
    <workbookView xWindow="-98" yWindow="-98" windowWidth="21795" windowHeight="12975" activeTab="1" xr2:uid="{EC25E3E5-539C-43FC-82E5-364038008201}"/>
  </bookViews>
  <sheets>
    <sheet name="Svodka (Özet Tablo)" sheetId="4" r:id="rId1"/>
    <sheet name="Ekipman Listesi" sheetId="1" r:id="rId2"/>
    <sheet name="Kiralık Ekipman Listesi" sheetId="2" r:id="rId3"/>
    <sheet name="Kiradan Çıkartılan Ekipmanlar" sheetId="7" r:id="rId4"/>
    <sheet name="Satlan ve Hurdaya cikanlar" sheetId="6" r:id="rId5"/>
    <sheet name="Jeneratör Grubu" sheetId="5" state="hidden" r:id="rId6"/>
    <sheet name="Toplam Ekipman" sheetId="3" state="hidden" r:id="rId7"/>
  </sheets>
  <definedNames>
    <definedName name="_xlnm._FilterDatabase" localSheetId="1" hidden="1">'Ekipman Listesi'!$A$3:$R$43</definedName>
    <definedName name="_xlnm._FilterDatabase" localSheetId="2" hidden="1">'Kiralık Ekipman Listesi'!$A$2:$K$98</definedName>
    <definedName name="_xlnm._FilterDatabase" localSheetId="0" hidden="1">'Svodka (Özet Tablo)'!$B$2:$C$2</definedName>
    <definedName name="Срез_Площадка">#N/A</definedName>
    <definedName name="Срез_Площадка1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5" i="2" l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54" i="2"/>
  <c r="A73" i="2" l="1"/>
  <c r="A74" i="2"/>
  <c r="A75" i="2"/>
  <c r="A76" i="2"/>
  <c r="A77" i="2"/>
  <c r="A78" i="2"/>
  <c r="A79" i="2"/>
  <c r="A80" i="2"/>
  <c r="A81" i="2"/>
  <c r="A82" i="2"/>
  <c r="A83" i="2"/>
  <c r="A84" i="2"/>
  <c r="A72" i="2"/>
  <c r="A71" i="2" l="1"/>
  <c r="A70" i="2"/>
  <c r="A69" i="2"/>
  <c r="A68" i="2"/>
  <c r="A67" i="2"/>
  <c r="A66" i="2"/>
  <c r="A65" i="2"/>
  <c r="A64" i="2"/>
  <c r="A63" i="2"/>
  <c r="A62" i="2"/>
  <c r="A61" i="2"/>
  <c r="A60" i="2"/>
  <c r="A59" i="2"/>
  <c r="A52" i="2"/>
  <c r="A53" i="2"/>
  <c r="A10" i="2"/>
  <c r="A56" i="2"/>
  <c r="A57" i="2"/>
  <c r="A58" i="2"/>
  <c r="A48" i="2"/>
  <c r="A49" i="2"/>
  <c r="A50" i="2"/>
  <c r="A51" i="2"/>
  <c r="J22" i="4" l="1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4" i="4"/>
  <c r="I14" i="4"/>
  <c r="H14" i="4"/>
  <c r="G14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N8" i="4" l="1"/>
  <c r="O8" i="4"/>
  <c r="P8" i="4"/>
  <c r="Q8" i="4"/>
  <c r="R8" i="4" l="1"/>
  <c r="Q9" i="4"/>
  <c r="P9" i="4"/>
  <c r="O9" i="4"/>
  <c r="N9" i="4"/>
  <c r="Q5" i="4"/>
  <c r="P5" i="4"/>
  <c r="O5" i="4"/>
  <c r="N5" i="4"/>
  <c r="Q6" i="4"/>
  <c r="P6" i="4"/>
  <c r="O6" i="4"/>
  <c r="N6" i="4"/>
  <c r="Q22" i="4"/>
  <c r="P22" i="4"/>
  <c r="O22" i="4"/>
  <c r="N22" i="4"/>
  <c r="Q14" i="4"/>
  <c r="P14" i="4"/>
  <c r="O14" i="4"/>
  <c r="N14" i="4"/>
  <c r="Q13" i="4"/>
  <c r="P13" i="4"/>
  <c r="O13" i="4"/>
  <c r="N13" i="4"/>
  <c r="Q12" i="4"/>
  <c r="P12" i="4"/>
  <c r="O12" i="4"/>
  <c r="N12" i="4"/>
  <c r="Q17" i="4"/>
  <c r="P17" i="4"/>
  <c r="O17" i="4"/>
  <c r="N17" i="4"/>
  <c r="Q16" i="4"/>
  <c r="P16" i="4"/>
  <c r="O16" i="4"/>
  <c r="N16" i="4"/>
  <c r="Q11" i="4"/>
  <c r="P11" i="4"/>
  <c r="O11" i="4"/>
  <c r="N11" i="4"/>
  <c r="Q21" i="4"/>
  <c r="P21" i="4"/>
  <c r="O21" i="4"/>
  <c r="N21" i="4"/>
  <c r="Q20" i="4"/>
  <c r="P20" i="4"/>
  <c r="O20" i="4"/>
  <c r="N20" i="4"/>
  <c r="Q10" i="4"/>
  <c r="P10" i="4"/>
  <c r="O10" i="4"/>
  <c r="N10" i="4"/>
  <c r="Q4" i="4"/>
  <c r="P4" i="4"/>
  <c r="O4" i="4"/>
  <c r="N4" i="4"/>
  <c r="Q7" i="4"/>
  <c r="P7" i="4"/>
  <c r="O7" i="4"/>
  <c r="N7" i="4"/>
  <c r="Q3" i="4"/>
  <c r="P3" i="4"/>
  <c r="O3" i="4"/>
  <c r="N3" i="4"/>
  <c r="Q19" i="4"/>
  <c r="P19" i="4"/>
  <c r="O19" i="4"/>
  <c r="N19" i="4"/>
  <c r="Q18" i="4"/>
  <c r="P18" i="4"/>
  <c r="O18" i="4"/>
  <c r="N18" i="4"/>
  <c r="Q15" i="4"/>
  <c r="P15" i="4"/>
  <c r="O15" i="4"/>
  <c r="N15" i="4"/>
  <c r="N23" i="4" l="1"/>
  <c r="O23" i="4"/>
  <c r="P23" i="4"/>
  <c r="Q23" i="4"/>
  <c r="J23" i="4"/>
  <c r="I23" i="4"/>
  <c r="H23" i="4"/>
  <c r="G23" i="4"/>
  <c r="A4" i="1" l="1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3" i="2"/>
  <c r="A4" i="2"/>
  <c r="A5" i="2"/>
  <c r="A6" i="2"/>
  <c r="A7" i="2"/>
  <c r="A8" i="2"/>
  <c r="A9" i="2"/>
  <c r="A11" i="2"/>
  <c r="A12" i="2"/>
  <c r="A13" i="2"/>
  <c r="A14" i="2"/>
  <c r="A15" i="2"/>
  <c r="A16" i="2"/>
  <c r="A17" i="2"/>
  <c r="A18" i="2"/>
  <c r="A19" i="2"/>
  <c r="R3" i="4" l="1"/>
  <c r="R21" i="4"/>
  <c r="R4" i="4"/>
  <c r="R18" i="4"/>
  <c r="R11" i="4"/>
  <c r="R5" i="4"/>
  <c r="R13" i="4"/>
  <c r="R19" i="4"/>
  <c r="R6" i="4"/>
  <c r="R15" i="4"/>
  <c r="R12" i="4"/>
  <c r="R9" i="4"/>
  <c r="R17" i="4"/>
  <c r="R7" i="4"/>
  <c r="R22" i="4"/>
  <c r="R20" i="4"/>
  <c r="R14" i="4"/>
  <c r="R16" i="4"/>
  <c r="R10" i="4"/>
  <c r="R23" i="4" l="1"/>
  <c r="K9" i="4"/>
  <c r="K11" i="4" l="1"/>
  <c r="K12" i="4"/>
  <c r="K21" i="4"/>
  <c r="K18" i="4"/>
  <c r="K4" i="4"/>
  <c r="K19" i="4"/>
  <c r="K6" i="4"/>
  <c r="K13" i="4"/>
  <c r="K15" i="4"/>
  <c r="K20" i="4"/>
  <c r="K14" i="4"/>
  <c r="K16" i="4"/>
  <c r="K3" i="4"/>
  <c r="K17" i="4"/>
  <c r="K5" i="4"/>
  <c r="K8" i="4"/>
  <c r="K10" i="4"/>
  <c r="K22" i="4"/>
  <c r="K7" i="4"/>
  <c r="K23" i="4" l="1"/>
</calcChain>
</file>

<file path=xl/sharedStrings.xml><?xml version="1.0" encoding="utf-8"?>
<sst xmlns="http://schemas.openxmlformats.org/spreadsheetml/2006/main" count="2891" uniqueCount="911">
  <si>
    <t>№</t>
  </si>
  <si>
    <t>ID
Номер</t>
  </si>
  <si>
    <t>Фирма</t>
  </si>
  <si>
    <t>Гос Номер</t>
  </si>
  <si>
    <t>VIN №</t>
  </si>
  <si>
    <t>Год Выпуска, г</t>
  </si>
  <si>
    <t>Вес ,Кг</t>
  </si>
  <si>
    <t>Дата Поступления</t>
  </si>
  <si>
    <t xml:space="preserve"> Площадка</t>
  </si>
  <si>
    <t>Марка/Модел</t>
  </si>
  <si>
    <t>Документы</t>
  </si>
  <si>
    <t>SRU</t>
  </si>
  <si>
    <t>PALFINGER SANY SRC300C</t>
  </si>
  <si>
    <t>LFCNJ33D1N3200203</t>
  </si>
  <si>
    <t>Мощность Двигателя, кВт</t>
  </si>
  <si>
    <t>119 кВт</t>
  </si>
  <si>
    <t>11740х2620х3632 мм</t>
  </si>
  <si>
    <t>Cummins QSB6.7</t>
  </si>
  <si>
    <t>Ortak Klasor Linki verilecek</t>
  </si>
  <si>
    <t>0355 МО 77</t>
  </si>
  <si>
    <t>LFCNJ33DXN3200202</t>
  </si>
  <si>
    <t>0354 МО 77</t>
  </si>
  <si>
    <t>ООО "МИР СПЕХТЕХНИКИ"</t>
  </si>
  <si>
    <t>LFCNN35D8M2200172</t>
  </si>
  <si>
    <t>0344 МО 77</t>
  </si>
  <si>
    <t>PALFINGER SANY SRC600C</t>
  </si>
  <si>
    <t>14100х3300х3789 мм</t>
  </si>
  <si>
    <t>210 кВт</t>
  </si>
  <si>
    <t>Cummins ISDE 285 30</t>
  </si>
  <si>
    <t>Подъемник Коленчатый</t>
  </si>
  <si>
    <t>ZOOMLION ZA32J</t>
  </si>
  <si>
    <t>0337 МО 77</t>
  </si>
  <si>
    <t>12600х2490х3100 мм</t>
  </si>
  <si>
    <t>54 кВт</t>
  </si>
  <si>
    <t>Cummins QSF2.8</t>
  </si>
  <si>
    <t>DCU</t>
  </si>
  <si>
    <t>0340 МО 77</t>
  </si>
  <si>
    <t>0774100000M000005</t>
  </si>
  <si>
    <t>0774100000M000004</t>
  </si>
  <si>
    <t>0339 МО 77</t>
  </si>
  <si>
    <t>0774100000M000002</t>
  </si>
  <si>
    <t>0338 МО 77</t>
  </si>
  <si>
    <t>0774100000M000003</t>
  </si>
  <si>
    <t>0342 МО 77</t>
  </si>
  <si>
    <t>ZOOMLION ZA24J</t>
  </si>
  <si>
    <t>0774000000M000042</t>
  </si>
  <si>
    <t>11250х2490х3000 мм</t>
  </si>
  <si>
    <t>0341 МО 77</t>
  </si>
  <si>
    <t>0774000000M000041</t>
  </si>
  <si>
    <t>0343 МО 77</t>
  </si>
  <si>
    <t>ZOOMLION ZA14J</t>
  </si>
  <si>
    <t>0773400000M000163</t>
  </si>
  <si>
    <t>6570х2300х2270 мм</t>
  </si>
  <si>
    <t>36 кВт</t>
  </si>
  <si>
    <t>Kubota V2403</t>
  </si>
  <si>
    <t>7ML1278</t>
  </si>
  <si>
    <t>VM</t>
  </si>
  <si>
    <t>EBP</t>
  </si>
  <si>
    <t>FL</t>
  </si>
  <si>
    <t>SANY STH1056A</t>
  </si>
  <si>
    <t>93 кВт</t>
  </si>
  <si>
    <t>TH1056CC0578</t>
  </si>
  <si>
    <t>Cummins QSF3.8</t>
  </si>
  <si>
    <t>6167х2560х2550 мм</t>
  </si>
  <si>
    <t>XUGB210WKNKA00527</t>
  </si>
  <si>
    <t>Колесный экскаватор</t>
  </si>
  <si>
    <t>EXL</t>
  </si>
  <si>
    <t>1 м³ (ковша)</t>
  </si>
  <si>
    <t>9597х2495х3170 мм</t>
  </si>
  <si>
    <t>135 кВт</t>
  </si>
  <si>
    <t>Cummins QSB 7</t>
  </si>
  <si>
    <t>URC</t>
  </si>
  <si>
    <t>BL</t>
  </si>
  <si>
    <t>Экскаватор-Погрузчик</t>
  </si>
  <si>
    <t>HIDROMEK HMK 102B</t>
  </si>
  <si>
    <t>4670 ММ 77</t>
  </si>
  <si>
    <t>HMK102BLK2B260171</t>
  </si>
  <si>
    <t>1,1 м³ (ковша)</t>
  </si>
  <si>
    <t>6070х2420х3590 мм</t>
  </si>
  <si>
    <t>74,5 кВт</t>
  </si>
  <si>
    <t>Perkins 1104D-44TA</t>
  </si>
  <si>
    <t>NM75621U330992E</t>
  </si>
  <si>
    <t>USTAY</t>
  </si>
  <si>
    <t>HMK102BPC2B480084</t>
  </si>
  <si>
    <t>NM75621U374210J</t>
  </si>
  <si>
    <t>8590 ММ 77</t>
  </si>
  <si>
    <t>Мини-Погрузчик</t>
  </si>
  <si>
    <t>ML</t>
  </si>
  <si>
    <t>BOBCAT EARTHFORCE S18</t>
  </si>
  <si>
    <t>B47G11324</t>
  </si>
  <si>
    <t>Kubota V2203</t>
  </si>
  <si>
    <t>3327х1727х1999 мм</t>
  </si>
  <si>
    <t>7JK8130</t>
  </si>
  <si>
    <t>8433 РК 77</t>
  </si>
  <si>
    <t>BOBCAT S530</t>
  </si>
  <si>
    <t>B42813981</t>
  </si>
  <si>
    <t>2657х1643х1972 мм</t>
  </si>
  <si>
    <t>34,4 кВт</t>
  </si>
  <si>
    <t>7MTA787</t>
  </si>
  <si>
    <t>TK</t>
  </si>
  <si>
    <t>Трактор</t>
  </si>
  <si>
    <t>BELARUS-82.1</t>
  </si>
  <si>
    <t>Y4R900Z01R1153712</t>
  </si>
  <si>
    <t>ММЗ Д-243S2</t>
  </si>
  <si>
    <t>60 кВт</t>
  </si>
  <si>
    <t>3930х1970х2800 мм</t>
  </si>
  <si>
    <t>298 Н·м</t>
  </si>
  <si>
    <t>Характеристики</t>
  </si>
  <si>
    <t>Вилочный Погрузчик</t>
  </si>
  <si>
    <t>ZAUBERG DB50-I</t>
  </si>
  <si>
    <t>4082 MX 77</t>
  </si>
  <si>
    <t>010503F5781</t>
  </si>
  <si>
    <t>82,4 кВт</t>
  </si>
  <si>
    <t>ISUZU 6BG1</t>
  </si>
  <si>
    <t>В 119 СА 797</t>
  </si>
  <si>
    <t>X89K4B1A4S1HE8054</t>
  </si>
  <si>
    <t>Манипулятор</t>
  </si>
  <si>
    <t>VH</t>
  </si>
  <si>
    <t>215 кВт</t>
  </si>
  <si>
    <t>КАМАЗ, 667.511-300</t>
  </si>
  <si>
    <t>25,2 т</t>
  </si>
  <si>
    <t>10350х2550х3630 мм (INMAN)</t>
  </si>
  <si>
    <t>В 120 СК 797</t>
  </si>
  <si>
    <t>X89K4B1A4S1HE8053</t>
  </si>
  <si>
    <t>XTC549005K2522236</t>
  </si>
  <si>
    <t>TR</t>
  </si>
  <si>
    <t>TD</t>
  </si>
  <si>
    <t>В 461 ХЕ 797</t>
  </si>
  <si>
    <t>6300х2550х3740 мм</t>
  </si>
  <si>
    <t>Mercedes OM457LA.V/3</t>
  </si>
  <si>
    <t>0367560</t>
  </si>
  <si>
    <t>X6S588513R0000773</t>
  </si>
  <si>
    <t>13480х2476х730 мм</t>
  </si>
  <si>
    <t>В 459 ХО 797</t>
  </si>
  <si>
    <t>XTC549005K2527402</t>
  </si>
  <si>
    <t>294,9 кВт</t>
  </si>
  <si>
    <t>0369132</t>
  </si>
  <si>
    <t>X6S588513R0000724</t>
  </si>
  <si>
    <t>39 т</t>
  </si>
  <si>
    <t>KAMAZ 5490-S5</t>
  </si>
  <si>
    <t>КАМАZ 5490-DC</t>
  </si>
  <si>
    <t>TZA 588513</t>
  </si>
  <si>
    <t>В 462 СЕ 797</t>
  </si>
  <si>
    <t>XTC549005K2520324</t>
  </si>
  <si>
    <t>0364932</t>
  </si>
  <si>
    <t>X6S588513R0000810</t>
  </si>
  <si>
    <t>В 461 СЕ 797</t>
  </si>
  <si>
    <t>XTC549005K2522797</t>
  </si>
  <si>
    <t>0368271</t>
  </si>
  <si>
    <t>X6S588513R0000774</t>
  </si>
  <si>
    <t>VM-101</t>
  </si>
  <si>
    <t>VM-102</t>
  </si>
  <si>
    <t>VM-103</t>
  </si>
  <si>
    <t>LONKING LG50DT</t>
  </si>
  <si>
    <t>4083 MX 77</t>
  </si>
  <si>
    <t>L97115051S3060308</t>
  </si>
  <si>
    <t>4715х1995х2450 мм</t>
  </si>
  <si>
    <t>XICHAI, 4DX23-82GG3U</t>
  </si>
  <si>
    <t>WA413401</t>
  </si>
  <si>
    <t>XU428244ES0000093</t>
  </si>
  <si>
    <t>Х 370 СС 797</t>
  </si>
  <si>
    <t>ГАЗ 28244E</t>
  </si>
  <si>
    <t>Вакуумная Машина</t>
  </si>
  <si>
    <t>4.3 м³</t>
  </si>
  <si>
    <t>7400х2300х2750 мм</t>
  </si>
  <si>
    <t>124,2 кВт</t>
  </si>
  <si>
    <t>ЯМЗ, 53445</t>
  </si>
  <si>
    <t>534450R0231264</t>
  </si>
  <si>
    <t>VD</t>
  </si>
  <si>
    <t>Телескопический Погрузчик</t>
  </si>
  <si>
    <t>4085 MX 77</t>
  </si>
  <si>
    <t>TH1840CF1226</t>
  </si>
  <si>
    <t>SANY STH1840E</t>
  </si>
  <si>
    <t>4 т - 17,55 м</t>
  </si>
  <si>
    <t>6220х2426х2595 мм</t>
  </si>
  <si>
    <t>73 кВт</t>
  </si>
  <si>
    <t>HAULOTTE HA41RTJPRO</t>
  </si>
  <si>
    <t>62,5 кВт</t>
  </si>
  <si>
    <t>Perkins NL75015</t>
  </si>
  <si>
    <t>U317442D</t>
  </si>
  <si>
    <t>U322174E</t>
  </si>
  <si>
    <t>HAULOTTE HA32RTJPRO</t>
  </si>
  <si>
    <t>U314952D</t>
  </si>
  <si>
    <t>HAULOTTE HA120PX</t>
  </si>
  <si>
    <t>21 кВт</t>
  </si>
  <si>
    <t>Lombardini Kohler K0W 140DE525</t>
  </si>
  <si>
    <t>Автобус</t>
  </si>
  <si>
    <t>XTY429260К0001750</t>
  </si>
  <si>
    <t>ЯМЗ, 53403</t>
  </si>
  <si>
    <t>К0097583</t>
  </si>
  <si>
    <t>С 895 ТХ 797</t>
  </si>
  <si>
    <t xml:space="preserve">LIAZ 429260 </t>
  </si>
  <si>
    <t>154 кВт</t>
  </si>
  <si>
    <t>14400 кг - 82 место (18+1)</t>
  </si>
  <si>
    <t>XTY429260K0001763</t>
  </si>
  <si>
    <t>К 155 РУ 797</t>
  </si>
  <si>
    <t>К0097405</t>
  </si>
  <si>
    <t>BUS</t>
  </si>
  <si>
    <t>В 115 ХК 797</t>
  </si>
  <si>
    <t>GAZELLE CITY A68R52</t>
  </si>
  <si>
    <t>X96A68R52T0030224</t>
  </si>
  <si>
    <t>4950 кг - 22 место (17+1)</t>
  </si>
  <si>
    <t>Микроавтобус</t>
  </si>
  <si>
    <t>110 кВт</t>
  </si>
  <si>
    <t>GAZ G3A1</t>
  </si>
  <si>
    <t>G3A1R035113</t>
  </si>
  <si>
    <t>В 118 СМ 797</t>
  </si>
  <si>
    <t>MB</t>
  </si>
  <si>
    <t>X96A68R52T0030209</t>
  </si>
  <si>
    <t>G3A1R039134</t>
  </si>
  <si>
    <t>Е 665 КТ 797</t>
  </si>
  <si>
    <t>X96A65R35L0893558</t>
  </si>
  <si>
    <t>GAZ GAZELLE NEXT A65R35</t>
  </si>
  <si>
    <t>76,7 кВт</t>
  </si>
  <si>
    <t>A27550L0100600</t>
  </si>
  <si>
    <t>УМЗ A2755</t>
  </si>
  <si>
    <t>4200 кг - 18 место (17+1)</t>
  </si>
  <si>
    <t>XTY529267L0009681</t>
  </si>
  <si>
    <t>В 543 СР 797</t>
  </si>
  <si>
    <t>LIAZ 529267</t>
  </si>
  <si>
    <t>L0119824</t>
  </si>
  <si>
    <t>ЯМЗ, 53624</t>
  </si>
  <si>
    <t>18000 кг - 105 место (30+1)</t>
  </si>
  <si>
    <t>В 539 СР 797</t>
  </si>
  <si>
    <t>XTY529267L0009395</t>
  </si>
  <si>
    <t>ЯМЗ, 53624-40</t>
  </si>
  <si>
    <t>K0102650</t>
  </si>
  <si>
    <t>В 542 ХВ 797</t>
  </si>
  <si>
    <t>XTY529267L0009354</t>
  </si>
  <si>
    <t>K0102706</t>
  </si>
  <si>
    <t>BA</t>
  </si>
  <si>
    <t>Легковой Автомобиль</t>
  </si>
  <si>
    <t>MITSUBISHI L200</t>
  </si>
  <si>
    <t>Р 689 ТО 799</t>
  </si>
  <si>
    <t>MMCJJKL10MH000643</t>
  </si>
  <si>
    <t>113 кВт</t>
  </si>
  <si>
    <t>Mitsubishi, 4N15</t>
  </si>
  <si>
    <t>Р 101 АН 797</t>
  </si>
  <si>
    <t>TOYOTA LAND CRUISER 150</t>
  </si>
  <si>
    <t>JTEBX3FJ50K328066</t>
  </si>
  <si>
    <t>2850 кг - 4х4 Бензин</t>
  </si>
  <si>
    <t>2850 кг - 4х4 Дизель</t>
  </si>
  <si>
    <t>120 кВт</t>
  </si>
  <si>
    <t>Toyota 2TR-FE</t>
  </si>
  <si>
    <t>2TR 2211878</t>
  </si>
  <si>
    <t>О 707 ВН 797</t>
  </si>
  <si>
    <t>JTEBX3FJ40K332898</t>
  </si>
  <si>
    <t>2TR 2279200</t>
  </si>
  <si>
    <t>К 480 ВЕ 797</t>
  </si>
  <si>
    <t>XTT374195M1207522</t>
  </si>
  <si>
    <t>UAZ 374195-05</t>
  </si>
  <si>
    <t>2845 кг - 4х4 Бензин</t>
  </si>
  <si>
    <t>82,5 кВт</t>
  </si>
  <si>
    <t>XTT0409110L3031114</t>
  </si>
  <si>
    <t>Х 805 АС 797</t>
  </si>
  <si>
    <t>UAZ PICKUP 23632</t>
  </si>
  <si>
    <t>XTT236320M1005935</t>
  </si>
  <si>
    <t>2795 кг - 4х4 Бензин</t>
  </si>
  <si>
    <t>ЗМЗ-409051</t>
  </si>
  <si>
    <t>ЗМЗ-409110</t>
  </si>
  <si>
    <t>XTT0409051L3023255</t>
  </si>
  <si>
    <t>HYUJNDAI H-1</t>
  </si>
  <si>
    <t>3030 кг - 4х2 Дизель</t>
  </si>
  <si>
    <t>XWEWH81KBM0001167</t>
  </si>
  <si>
    <t>О 801 УК 799</t>
  </si>
  <si>
    <t>125 кВт</t>
  </si>
  <si>
    <t>D4CBM208865</t>
  </si>
  <si>
    <t>В 417 ХТ 799</t>
  </si>
  <si>
    <t>HYUNDAI SOLARIS</t>
  </si>
  <si>
    <t>Z94K241CBMR289230</t>
  </si>
  <si>
    <t>1610 кг - 4х2 Бензин</t>
  </si>
  <si>
    <t>2500х13100х2990 мм</t>
  </si>
  <si>
    <t>2530х8900х3380 мм</t>
  </si>
  <si>
    <t>5500х1900х2200 мм</t>
  </si>
  <si>
    <t>9500х2500х2740 мм</t>
  </si>
  <si>
    <t>6620х2200х2720 мм</t>
  </si>
  <si>
    <t>6415х2068х2837 мм</t>
  </si>
  <si>
    <t>12410х2500х3139 мм</t>
  </si>
  <si>
    <t>5225х1815х1775 мм</t>
  </si>
  <si>
    <t>4840х1855х1845 мм</t>
  </si>
  <si>
    <t>4363х1940х2064 мм</t>
  </si>
  <si>
    <t>5125х1915х1915 мм</t>
  </si>
  <si>
    <t>5150х1920х1925 мм</t>
  </si>
  <si>
    <t>4405х1729х1469 мм</t>
  </si>
  <si>
    <t>90,2 кВт</t>
  </si>
  <si>
    <t>G4FGLW585945</t>
  </si>
  <si>
    <t>В 420 ХТ 799</t>
  </si>
  <si>
    <t>Z94K241CBMR289284</t>
  </si>
  <si>
    <t>G4FGLW580487</t>
  </si>
  <si>
    <t>GAZ GAZELLE NEXT С41К92</t>
  </si>
  <si>
    <t>Р 092 АН 797</t>
  </si>
  <si>
    <t>6709х2160х2744 мм</t>
  </si>
  <si>
    <t>4600 кг</t>
  </si>
  <si>
    <t>X96C41R92L2785312</t>
  </si>
  <si>
    <t>Cummins ISF2.8</t>
  </si>
  <si>
    <t>Т 457 ЕК 797</t>
  </si>
  <si>
    <t>GAZ GAZELLE NEXT A21R32</t>
  </si>
  <si>
    <t>X96A21R32L2820033</t>
  </si>
  <si>
    <t>6709х2068х2137 мм</t>
  </si>
  <si>
    <t>В 695 ХТ 799</t>
  </si>
  <si>
    <t>TOYOTA CAMRY</t>
  </si>
  <si>
    <t>XW7BB4HK70S201634</t>
  </si>
  <si>
    <t>4885х1840х1455 мм</t>
  </si>
  <si>
    <t>M20A BD36554</t>
  </si>
  <si>
    <t>У 268 ЕУ 797</t>
  </si>
  <si>
    <t>MMCJJKL10MH001839</t>
  </si>
  <si>
    <t>Т 543 АС 797</t>
  </si>
  <si>
    <t>MMCJJKL10LH010942</t>
  </si>
  <si>
    <t>4N15 UHG6457</t>
  </si>
  <si>
    <t>4N15 UGG9810</t>
  </si>
  <si>
    <t>4N15 UGX0712</t>
  </si>
  <si>
    <t>EBP-101</t>
  </si>
  <si>
    <t>EBP-102</t>
  </si>
  <si>
    <t>EBP-103</t>
  </si>
  <si>
    <t>EBP-104</t>
  </si>
  <si>
    <t>EBP-105</t>
  </si>
  <si>
    <t>EBP-106</t>
  </si>
  <si>
    <t>EBP-107</t>
  </si>
  <si>
    <t>FL-101</t>
  </si>
  <si>
    <t>EXL-101</t>
  </si>
  <si>
    <t>BL-101</t>
  </si>
  <si>
    <t>BL-102</t>
  </si>
  <si>
    <t>ML-101</t>
  </si>
  <si>
    <t>ML-102</t>
  </si>
  <si>
    <t>VD-101</t>
  </si>
  <si>
    <t>TK-101</t>
  </si>
  <si>
    <t>FL-102</t>
  </si>
  <si>
    <t>VH-101</t>
  </si>
  <si>
    <t>VH-102</t>
  </si>
  <si>
    <t>TR-101</t>
  </si>
  <si>
    <t>TD-101</t>
  </si>
  <si>
    <t>TR-102</t>
  </si>
  <si>
    <t>TD-102</t>
  </si>
  <si>
    <t>TR-103</t>
  </si>
  <si>
    <t>TD-103</t>
  </si>
  <si>
    <t>TR-104</t>
  </si>
  <si>
    <t>TD-104</t>
  </si>
  <si>
    <t>FLM-102</t>
  </si>
  <si>
    <t>FLM-101</t>
  </si>
  <si>
    <t>EBP-108</t>
  </si>
  <si>
    <t>EBP-109</t>
  </si>
  <si>
    <t>EBP-110</t>
  </si>
  <si>
    <t>EBP-111</t>
  </si>
  <si>
    <t>BA-101</t>
  </si>
  <si>
    <t>BA-102</t>
  </si>
  <si>
    <t>BA-103</t>
  </si>
  <si>
    <t>BA-104</t>
  </si>
  <si>
    <t>BA-105</t>
  </si>
  <si>
    <t>BA-106</t>
  </si>
  <si>
    <t>BA-107</t>
  </si>
  <si>
    <t>BUS-101</t>
  </si>
  <si>
    <t>BUS-102</t>
  </si>
  <si>
    <t>BUS-103</t>
  </si>
  <si>
    <t>BUS-104</t>
  </si>
  <si>
    <t>BUS-105</t>
  </si>
  <si>
    <t>MB-101</t>
  </si>
  <si>
    <t>MB-102</t>
  </si>
  <si>
    <t>MB-103</t>
  </si>
  <si>
    <t>MB-104</t>
  </si>
  <si>
    <t>MB-105</t>
  </si>
  <si>
    <t>MB-106</t>
  </si>
  <si>
    <t>MB-107</t>
  </si>
  <si>
    <t>MB-108</t>
  </si>
  <si>
    <t>BA-108</t>
  </si>
  <si>
    <t>BA-109</t>
  </si>
  <si>
    <t>В 659 ХК 797</t>
  </si>
  <si>
    <t>XTY529267L0009680</t>
  </si>
  <si>
    <t>L0120219</t>
  </si>
  <si>
    <t>BUS-106</t>
  </si>
  <si>
    <t>BUS-107</t>
  </si>
  <si>
    <t>С 147 ХЕ 797</t>
  </si>
  <si>
    <t>XTY529267L0009362</t>
  </si>
  <si>
    <t>K0102649</t>
  </si>
  <si>
    <t>Зарегистрированная фирма</t>
  </si>
  <si>
    <t>СОБОЛЬ 2752</t>
  </si>
  <si>
    <t>А 558 ТУ 797</t>
  </si>
  <si>
    <t>X96275200S1023639</t>
  </si>
  <si>
    <t>4810х2030х2385 мм</t>
  </si>
  <si>
    <t>88 кВт</t>
  </si>
  <si>
    <t>BA-110</t>
  </si>
  <si>
    <t>BA-111</t>
  </si>
  <si>
    <t>LADA VESTA</t>
  </si>
  <si>
    <t>А 581 ХЕ 797</t>
  </si>
  <si>
    <t>XTAGFK350T1012921</t>
  </si>
  <si>
    <t>4440х1764х1496 мм</t>
  </si>
  <si>
    <t>Binek Araç</t>
  </si>
  <si>
    <t>Backhoe-Loader</t>
  </si>
  <si>
    <t>Otobüs</t>
  </si>
  <si>
    <t>Eklemli Bomlu Platform (Manlift)</t>
  </si>
  <si>
    <t>Excavatör (Lastikli)</t>
  </si>
  <si>
    <t>Forklift (Teleskopik)</t>
  </si>
  <si>
    <t>FLM</t>
  </si>
  <si>
    <t>Forklift Mini (Çatallı Mini Forklift)</t>
  </si>
  <si>
    <t>Minibüs</t>
  </si>
  <si>
    <t>Mini Loader</t>
  </si>
  <si>
    <t>Tır Dorse</t>
  </si>
  <si>
    <t>Traktör</t>
  </si>
  <si>
    <t>Tır (Çekici)</t>
  </si>
  <si>
    <t>Vidanjör</t>
  </si>
  <si>
    <t>Hi-up</t>
  </si>
  <si>
    <t>Mobil Vinç</t>
  </si>
  <si>
    <t>EKİPMAN KOD TANIMLARI</t>
  </si>
  <si>
    <t>А 582 СХ 797</t>
  </si>
  <si>
    <t>XTAGFK350T1012945</t>
  </si>
  <si>
    <t>COM-101</t>
  </si>
  <si>
    <t>COM-102</t>
  </si>
  <si>
    <t>COM-103</t>
  </si>
  <si>
    <t>COM-104</t>
  </si>
  <si>
    <t>COM-105</t>
  </si>
  <si>
    <t>COM-106</t>
  </si>
  <si>
    <t>COM-107</t>
  </si>
  <si>
    <t>COM-108</t>
  </si>
  <si>
    <t>COM-109</t>
  </si>
  <si>
    <t>COM-110</t>
  </si>
  <si>
    <t>COM-111</t>
  </si>
  <si>
    <t>COM-112</t>
  </si>
  <si>
    <t>Компрессор</t>
  </si>
  <si>
    <t>ATLAS COPCO HILIGHT V4</t>
  </si>
  <si>
    <t>Осветительная Мачта</t>
  </si>
  <si>
    <t>IJ-101</t>
  </si>
  <si>
    <t>IJ-102</t>
  </si>
  <si>
    <t>IJ-103</t>
  </si>
  <si>
    <t>IJ-104</t>
  </si>
  <si>
    <t>IJ-105</t>
  </si>
  <si>
    <t>IJ-106</t>
  </si>
  <si>
    <t>IJ-107</t>
  </si>
  <si>
    <t>IJ-108</t>
  </si>
  <si>
    <t>IJ-109</t>
  </si>
  <si>
    <t>IJ-110</t>
  </si>
  <si>
    <t>IJ-111</t>
  </si>
  <si>
    <t>IJ-112</t>
  </si>
  <si>
    <t>IJ-113</t>
  </si>
  <si>
    <t>IJ-114</t>
  </si>
  <si>
    <t>JD-101</t>
  </si>
  <si>
    <t>JD-102</t>
  </si>
  <si>
    <t>GENERAC VT8</t>
  </si>
  <si>
    <t>YA3029889LW925005</t>
  </si>
  <si>
    <t>YA302988XKW922161</t>
  </si>
  <si>
    <t>YA3029883KW920252</t>
  </si>
  <si>
    <t>YA3029888KW922157</t>
  </si>
  <si>
    <t>YA3029883KW920249</t>
  </si>
  <si>
    <t>YA3029888KW922160</t>
  </si>
  <si>
    <t>YA3029887MW927711</t>
  </si>
  <si>
    <t>YA3029880LW925006</t>
  </si>
  <si>
    <t>YA3029965MW927901</t>
  </si>
  <si>
    <t>YA3029889KW920675</t>
  </si>
  <si>
    <t>YA3029887KW922165</t>
  </si>
  <si>
    <t>DALGAKIRAN W210</t>
  </si>
  <si>
    <t>ATLAS COPCO XAHS 400 PACE</t>
  </si>
  <si>
    <t>ZIF-ПВ 10/1,0</t>
  </si>
  <si>
    <t>ATLAS COPCO XAS 88 KD</t>
  </si>
  <si>
    <t>BERG VK-90</t>
  </si>
  <si>
    <t>BAYSAR DS350-12D</t>
  </si>
  <si>
    <t>YA3024755MW543663</t>
  </si>
  <si>
    <t>YA3024755XLW542782</t>
  </si>
  <si>
    <t>HERTZ HG 275 DC</t>
  </si>
  <si>
    <t>PS027153</t>
  </si>
  <si>
    <t>COM</t>
  </si>
  <si>
    <t>Kompressör</t>
  </si>
  <si>
    <t>IJ</t>
  </si>
  <si>
    <t>Işıldaklı Jeneratör</t>
  </si>
  <si>
    <t>JD</t>
  </si>
  <si>
    <t>Jeneratör</t>
  </si>
  <si>
    <t>Дизельный Генератор</t>
  </si>
  <si>
    <t>ISTOK A50C-1PM25</t>
  </si>
  <si>
    <t>JD-103</t>
  </si>
  <si>
    <t>MGE 100 T 400 TEKSAN</t>
  </si>
  <si>
    <t>GARAJ-AMBAR</t>
  </si>
  <si>
    <t>MB-109</t>
  </si>
  <si>
    <t>Р 212 СР 797</t>
  </si>
  <si>
    <t>X96A21R32S2949710</t>
  </si>
  <si>
    <t>G31AR053134</t>
  </si>
  <si>
    <t>5954 МХ 77</t>
  </si>
  <si>
    <t>5953 МХ 77</t>
  </si>
  <si>
    <t>5950 МХ 77</t>
  </si>
  <si>
    <t>5951 МХ 77</t>
  </si>
  <si>
    <t>5949 МХ 77</t>
  </si>
  <si>
    <t>YA3064705LW667200</t>
  </si>
  <si>
    <t>YA3024704KW666338</t>
  </si>
  <si>
    <t xml:space="preserve"> A15325-06/6</t>
  </si>
  <si>
    <t>ST-101</t>
  </si>
  <si>
    <t>Водовоз</t>
  </si>
  <si>
    <t>КАМАЗ КО-806</t>
  </si>
  <si>
    <t>X5H806012P0000043</t>
  </si>
  <si>
    <t>10 м³</t>
  </si>
  <si>
    <t>ST</t>
  </si>
  <si>
    <t>Su Tankeri</t>
  </si>
  <si>
    <t>10 бар</t>
  </si>
  <si>
    <t>Габаритные Размеры 
(Д, Ш, В)</t>
  </si>
  <si>
    <t>Ofis</t>
  </si>
  <si>
    <t>Тип Транспортного Средства ТР</t>
  </si>
  <si>
    <t>Тип Транспортного Средства РУ</t>
  </si>
  <si>
    <t>Номер
Двигателя</t>
  </si>
  <si>
    <t>Марка
Двигателя</t>
  </si>
  <si>
    <t>Дата снять</t>
  </si>
  <si>
    <t>Описание</t>
  </si>
  <si>
    <t>Н/т</t>
  </si>
  <si>
    <t>Тип Т.С.</t>
  </si>
  <si>
    <t>1790 кг - 4х2</t>
  </si>
  <si>
    <t>33,85 м 250 кг</t>
  </si>
  <si>
    <t>24,5 м 250 кг</t>
  </si>
  <si>
    <t>13,8 м 250 кг</t>
  </si>
  <si>
    <t>41 м 230 кг</t>
  </si>
  <si>
    <t>31,8 м 250 кг</t>
  </si>
  <si>
    <t>12,4 м 230 кг</t>
  </si>
  <si>
    <t>4,54 т - 17,1 м</t>
  </si>
  <si>
    <t>5 т - 3 м</t>
  </si>
  <si>
    <t>8 т - 3 м</t>
  </si>
  <si>
    <t>Мини грузовик</t>
  </si>
  <si>
    <t>1500 кг место (3)</t>
  </si>
  <si>
    <t>800 кг место (7)</t>
  </si>
  <si>
    <t>0,45 м³</t>
  </si>
  <si>
    <t>0,50 м³</t>
  </si>
  <si>
    <t>4х2 - 10 760 кг</t>
  </si>
  <si>
    <t>4х2 - 11 125 кг</t>
  </si>
  <si>
    <t>31,5 м - 30 тон</t>
  </si>
  <si>
    <t>43,5 м - 60 тон</t>
  </si>
  <si>
    <t>12 бар</t>
  </si>
  <si>
    <t>3941х1716х2022 мм</t>
  </si>
  <si>
    <t>Cummins QSB3.9-C130-31</t>
  </si>
  <si>
    <t xml:space="preserve">10000х3100х3200 </t>
  </si>
  <si>
    <t>Cummins ISB6.7E5 250</t>
  </si>
  <si>
    <t>184 кВт</t>
  </si>
  <si>
    <t>Полуприцеп</t>
  </si>
  <si>
    <t>Седельный Тягач</t>
  </si>
  <si>
    <t>ММЗ Д-245</t>
  </si>
  <si>
    <t>77–90 кВт</t>
  </si>
  <si>
    <t>2270х1250х1520мм</t>
  </si>
  <si>
    <t>Kubota V1505T</t>
  </si>
  <si>
    <t>33 кВт</t>
  </si>
  <si>
    <t>2240х1345х1400 мм</t>
  </si>
  <si>
    <t>7 бар</t>
  </si>
  <si>
    <t>37 кВт</t>
  </si>
  <si>
    <t>1640x1175x1100 мм</t>
  </si>
  <si>
    <t>380 В (трехфазный)</t>
  </si>
  <si>
    <t>Cummins 4BTA3.9-C125</t>
  </si>
  <si>
    <t>2676х1456х1570 мм</t>
  </si>
  <si>
    <t>90 кВт</t>
  </si>
  <si>
    <t>2100х1400х1780 мм</t>
  </si>
  <si>
    <t>1670x1100x2500 мм</t>
  </si>
  <si>
    <t>4x1000 Вт</t>
  </si>
  <si>
    <t>Kubota Z482</t>
  </si>
  <si>
    <t>9.9 кВт</t>
  </si>
  <si>
    <t>2690х1300х2500 мм</t>
  </si>
  <si>
    <t>Doosan P126TI-II</t>
  </si>
  <si>
    <t>200 кВт</t>
  </si>
  <si>
    <t>3940х1300х1850 мм</t>
  </si>
  <si>
    <t>294 кВт</t>
  </si>
  <si>
    <t>100 кВт</t>
  </si>
  <si>
    <t>2200х800х1270 мм</t>
  </si>
  <si>
    <t>Дата Начала</t>
  </si>
  <si>
    <t>Дата Окончания</t>
  </si>
  <si>
    <t>характеристики</t>
  </si>
  <si>
    <t>AO AVTOKRAN ARENDA (ЗАО АВТОКРАН АРЕНДА)</t>
  </si>
  <si>
    <t>OOO TOMAYLI ( ООО ТОМАЙЛЫ )</t>
  </si>
  <si>
    <t>H554CC15</t>
  </si>
  <si>
    <t>100 тон</t>
  </si>
  <si>
    <t>41 м</t>
  </si>
  <si>
    <t>32 м</t>
  </si>
  <si>
    <t>6 тон</t>
  </si>
  <si>
    <t>5 тон</t>
  </si>
  <si>
    <t>20 тон</t>
  </si>
  <si>
    <t>49 тон</t>
  </si>
  <si>
    <t>33 тон</t>
  </si>
  <si>
    <t>М 815 ТХ 28</t>
  </si>
  <si>
    <t xml:space="preserve"> X 448 BX 323</t>
  </si>
  <si>
    <t>5724 УВ 23</t>
  </si>
  <si>
    <t>X 295 KM 193</t>
  </si>
  <si>
    <t>9659 ХХ 23</t>
  </si>
  <si>
    <t>Е 249 ВО 323</t>
  </si>
  <si>
    <t>О 381 НУ 193</t>
  </si>
  <si>
    <t>1460 HX 77</t>
  </si>
  <si>
    <t>В 555 УЕ 163</t>
  </si>
  <si>
    <t>В 826 ХС 790</t>
  </si>
  <si>
    <t>В 187 ХТ 763</t>
  </si>
  <si>
    <t>Х 832 ОС 763</t>
  </si>
  <si>
    <t>Т 885 МК 790</t>
  </si>
  <si>
    <t>С 577 ТМ 790</t>
  </si>
  <si>
    <t>X 382 KC 763</t>
  </si>
  <si>
    <t>2025070189 (004</t>
  </si>
  <si>
    <t>В 779 ОК 155</t>
  </si>
  <si>
    <t>A 218 OP 155</t>
  </si>
  <si>
    <t>А 970 ХН 155</t>
  </si>
  <si>
    <t>B 886 AP 155</t>
  </si>
  <si>
    <t>Е 220 ВА 250</t>
  </si>
  <si>
    <t>Т971 ВЕ 250</t>
  </si>
  <si>
    <t>X 051 TE 790</t>
  </si>
  <si>
    <t>У 900 ВТ 550</t>
  </si>
  <si>
    <t>О102АМ250</t>
  </si>
  <si>
    <t>7535АВ 55</t>
  </si>
  <si>
    <t>1423 РК 77</t>
  </si>
  <si>
    <t>6799 АВ 55</t>
  </si>
  <si>
    <t>С 451 ЕВ 550</t>
  </si>
  <si>
    <t xml:space="preserve"> 77  МО 0938  </t>
  </si>
  <si>
    <t xml:space="preserve">77 МН 8797 </t>
  </si>
  <si>
    <t>4365 НА 50</t>
  </si>
  <si>
    <t>6609 НА 50</t>
  </si>
  <si>
    <t>1169 НА 50</t>
  </si>
  <si>
    <t>0738 НА 50</t>
  </si>
  <si>
    <t>4530 НА 50</t>
  </si>
  <si>
    <t>4482 НА 50</t>
  </si>
  <si>
    <t>0730 НА 50</t>
  </si>
  <si>
    <t>0731 НА 50</t>
  </si>
  <si>
    <t>0845 НА 50</t>
  </si>
  <si>
    <t>0848 НА 50</t>
  </si>
  <si>
    <t xml:space="preserve">5906 XT 50 </t>
  </si>
  <si>
    <t>6324 МР 77</t>
  </si>
  <si>
    <t>3139 МР 77</t>
  </si>
  <si>
    <t>2460 XM 50</t>
  </si>
  <si>
    <t>5769 XM 50</t>
  </si>
  <si>
    <t>5577 XT 50</t>
  </si>
  <si>
    <t>4994 ХО 50</t>
  </si>
  <si>
    <t>5917 МН 77</t>
  </si>
  <si>
    <t>8753 ММ 77</t>
  </si>
  <si>
    <t>6547 XH 50</t>
  </si>
  <si>
    <t>Мобильный кран</t>
  </si>
  <si>
    <t>Башенный Кран</t>
  </si>
  <si>
    <t>Трал Длинномер</t>
  </si>
  <si>
    <t>Длинномер</t>
  </si>
  <si>
    <t>Самосвал</t>
  </si>
  <si>
    <t>150 тн</t>
  </si>
  <si>
    <t>70 тн</t>
  </si>
  <si>
    <t>50 тн</t>
  </si>
  <si>
    <t>25 тн</t>
  </si>
  <si>
    <t>12 тн</t>
  </si>
  <si>
    <t>7/10 тн</t>
  </si>
  <si>
    <t>18 м/40 т</t>
  </si>
  <si>
    <t>12 м/20 т</t>
  </si>
  <si>
    <t>3 тн</t>
  </si>
  <si>
    <t>25м3</t>
  </si>
  <si>
    <t>17/ Мт</t>
  </si>
  <si>
    <t>46/мт</t>
  </si>
  <si>
    <t>44/мт</t>
  </si>
  <si>
    <t>41/мт</t>
  </si>
  <si>
    <t>36/мт</t>
  </si>
  <si>
    <t>26/мт</t>
  </si>
  <si>
    <t>32/мт</t>
  </si>
  <si>
    <t>ZOOMLION ZАТ 3500V</t>
  </si>
  <si>
    <t>XCMG XCA220_S</t>
  </si>
  <si>
    <t xml:space="preserve">XCMG XGC 150-IA </t>
  </si>
  <si>
    <t>LIEBHERR LTM 230</t>
  </si>
  <si>
    <t>XCMG XCT70-S</t>
  </si>
  <si>
    <t>DEMAG AC60</t>
  </si>
  <si>
    <t>ZOOMLION ZTC600V</t>
  </si>
  <si>
    <t>XCMG XCT55-S/44</t>
  </si>
  <si>
    <t>КС 65717</t>
  </si>
  <si>
    <t>XCMG XCT55_S</t>
  </si>
  <si>
    <t xml:space="preserve"> КС55721-1B</t>
  </si>
  <si>
    <t xml:space="preserve">SANY STC300T5 </t>
  </si>
  <si>
    <t>SANY STС250Е5-5</t>
  </si>
  <si>
    <t>ZTT 336B-12</t>
  </si>
  <si>
    <t>78F10278F102</t>
  </si>
  <si>
    <t>ЗАМС 30404Е</t>
  </si>
  <si>
    <t>КАМАЗ5490</t>
  </si>
  <si>
    <t>Хино NZ</t>
  </si>
  <si>
    <t>КАМАЗ 5490</t>
  </si>
  <si>
    <t>КАМАЗ 5490-S5</t>
  </si>
  <si>
    <t>КАМАЗ М1840</t>
  </si>
  <si>
    <t>КАМАЗ 65116-А4</t>
  </si>
  <si>
    <t>JCB3CX</t>
  </si>
  <si>
    <t>HITACHI ZX 330-5G</t>
  </si>
  <si>
    <t>JCB51R-1 T3</t>
  </si>
  <si>
    <t>КАМАЗ К5042</t>
  </si>
  <si>
    <t>JCB 540-170</t>
  </si>
  <si>
    <t xml:space="preserve">Dingli BA 41 RT </t>
  </si>
  <si>
    <t>Dingli BA 36 RT</t>
  </si>
  <si>
    <t>HAULOTTE HA41 PX</t>
  </si>
  <si>
    <t>HAULOTTE HA 26 RTJ PRO</t>
  </si>
  <si>
    <t>ООО "АвтоСпецСтрой"</t>
  </si>
  <si>
    <t>ООО "Габарит"</t>
  </si>
  <si>
    <t>ИП "Черномуренко"</t>
  </si>
  <si>
    <t>ООО "Мир машин"</t>
  </si>
  <si>
    <t xml:space="preserve">ООО "СПЕКТР" </t>
  </si>
  <si>
    <t xml:space="preserve"> ООО "АВТОКРАН АРЕНДА"</t>
  </si>
  <si>
    <t>1741 УС 77</t>
  </si>
  <si>
    <t>1791 УС 77</t>
  </si>
  <si>
    <t>1792 УС 77</t>
  </si>
  <si>
    <t>1742 УС 77</t>
  </si>
  <si>
    <t>Kule Vinç</t>
  </si>
  <si>
    <t>Paletli Vinç</t>
  </si>
  <si>
    <t>KAMAZ 6520-53</t>
  </si>
  <si>
    <t>Damperli Kamyon</t>
  </si>
  <si>
    <t>Lowbet Çekici</t>
  </si>
  <si>
    <t>Экскаватор</t>
  </si>
  <si>
    <t>Ekskavatör</t>
  </si>
  <si>
    <t>Мини-экскаватор</t>
  </si>
  <si>
    <t>Mini Ekskavatör</t>
  </si>
  <si>
    <t>Гусеничный кран</t>
  </si>
  <si>
    <t>Код 
Гаража</t>
  </si>
  <si>
    <t>Garaj Kodu</t>
  </si>
  <si>
    <t>2850 кг - 4x4 Бензин</t>
  </si>
  <si>
    <t>Toyota, M20A-FKS</t>
  </si>
  <si>
    <t>2030 кг - 4х2 Бензин</t>
  </si>
  <si>
    <t>480х1500х2500 мм</t>
  </si>
  <si>
    <t>-</t>
  </si>
  <si>
    <t>Kamyonet</t>
  </si>
  <si>
    <t xml:space="preserve">HAULOTTE 32 RTJ PRO (HM936)  </t>
  </si>
  <si>
    <t>MANITU</t>
  </si>
  <si>
    <t xml:space="preserve"> MANITOU  MT-X 1740 SLT</t>
  </si>
  <si>
    <t xml:space="preserve"> DAF XF</t>
  </si>
  <si>
    <t>Toplam</t>
  </si>
  <si>
    <t>Şantiye</t>
  </si>
  <si>
    <t>ID №</t>
  </si>
  <si>
    <t>Marka/Model</t>
  </si>
  <si>
    <t>Makine Ekipman Tipi RU.</t>
  </si>
  <si>
    <t>Makine Ekipman Tipi TR.</t>
  </si>
  <si>
    <t>Plaka</t>
  </si>
  <si>
    <t>Teknik Özellikler</t>
  </si>
  <si>
    <t>Üretim yılı</t>
  </si>
  <si>
    <t>Ağırlık, kg</t>
  </si>
  <si>
    <t>Genel Boyutlar (U, G, Y)</t>
  </si>
  <si>
    <t>Motor gücü (кВт)</t>
  </si>
  <si>
    <t>Motor markası/modeli</t>
  </si>
  <si>
    <t>Motor Numarası</t>
  </si>
  <si>
    <t>Kayıtlı Şirket</t>
  </si>
  <si>
    <t>Geliş Tarihi</t>
  </si>
  <si>
    <t>Belge / Doküman.</t>
  </si>
  <si>
    <t>ВАЗ-21129</t>
  </si>
  <si>
    <t>1790 кг - 4х2 Бензин</t>
  </si>
  <si>
    <t>75 кВт</t>
  </si>
  <si>
    <t>В179ТО799</t>
  </si>
  <si>
    <t>LTM-1050-3.1</t>
  </si>
  <si>
    <t>OOO MIR STROY KRAN</t>
  </si>
  <si>
    <t>Remeza ДК-10/10</t>
  </si>
  <si>
    <t>3800х1750х2050 мм</t>
  </si>
  <si>
    <t>ММЗ AL4R2 2451003122-5</t>
  </si>
  <si>
    <t>18,9 м - 8 тон</t>
  </si>
  <si>
    <t>YA302475XLW542782</t>
  </si>
  <si>
    <t>COM-113</t>
  </si>
  <si>
    <t>COM-114</t>
  </si>
  <si>
    <t>COM-115</t>
  </si>
  <si>
    <t>ET SDN 550T-15</t>
  </si>
  <si>
    <t>260119006N</t>
  </si>
  <si>
    <t>260119008N</t>
  </si>
  <si>
    <t>2805 x 1525 x 2182 мм.</t>
  </si>
  <si>
    <t>132 кВт</t>
  </si>
  <si>
    <t>Cummins 6BTA5.9-C180-II</t>
  </si>
  <si>
    <t>260119010N</t>
  </si>
  <si>
    <t>Ana İş Grubu (Vida / Alternatör)</t>
  </si>
  <si>
    <t>Главный узел (Винтовой блок / Альтернатор)</t>
  </si>
  <si>
    <t>Chicago Pneumatic CPS350-12</t>
  </si>
  <si>
    <t>CRL2404</t>
  </si>
  <si>
    <t>EAD0E967564</t>
  </si>
  <si>
    <t>118 кВт</t>
  </si>
  <si>
    <t>Doosan D1146T</t>
  </si>
  <si>
    <t>G1R250SD</t>
  </si>
  <si>
    <t>TEKSAN  TJ133DW5C</t>
  </si>
  <si>
    <t>EDI0C082203</t>
  </si>
  <si>
    <t>X240111418006</t>
  </si>
  <si>
    <t>6025 МХ 77</t>
  </si>
  <si>
    <t>6022 МХ 77</t>
  </si>
  <si>
    <t>Х 705 РА 763</t>
  </si>
  <si>
    <t>ООО ГАБАРИТ</t>
  </si>
  <si>
    <t>О814СО197</t>
  </si>
  <si>
    <t>4382РK77</t>
  </si>
  <si>
    <t>С213АК799</t>
  </si>
  <si>
    <t>5017ХТ50</t>
  </si>
  <si>
    <t>У315СВ797</t>
  </si>
  <si>
    <t>Т601ЕА163</t>
  </si>
  <si>
    <t>7424мн77</t>
  </si>
  <si>
    <t>5766HX50</t>
  </si>
  <si>
    <t>9051XM50</t>
  </si>
  <si>
    <t>УТ044677</t>
  </si>
  <si>
    <t>ВУ807350</t>
  </si>
  <si>
    <t>ЕНКИ</t>
  </si>
  <si>
    <t>50 тон</t>
  </si>
  <si>
    <t>Hyundai  МО tor G4FG-5</t>
  </si>
  <si>
    <t>ISTOK A50C-1РМ25</t>
  </si>
  <si>
    <t>4650 РМ 77</t>
  </si>
  <si>
    <t>XCMG ХЕ210WD</t>
  </si>
  <si>
    <t>4084 ММ 77</t>
  </si>
  <si>
    <t>5952 МХ 77</t>
  </si>
  <si>
    <t>Avinovka</t>
  </si>
  <si>
    <t>T 084 EC 199</t>
  </si>
  <si>
    <t>ILHOM TEL: +7 918 722 95 94</t>
  </si>
  <si>
    <t>ATLANT (DSU)</t>
  </si>
  <si>
    <t>T 254 CE 799</t>
  </si>
  <si>
    <t>MANSUR +7 (985) 039 67 69</t>
  </si>
  <si>
    <t>C 696 TC 799</t>
  </si>
  <si>
    <t>ROVSAN  TEL:+7 (915) 236 69 34</t>
  </si>
  <si>
    <t>IP ZAMANOV</t>
  </si>
  <si>
    <t>B 959 MC 134</t>
  </si>
  <si>
    <t>40-45 чел.</t>
  </si>
  <si>
    <t>GAZEL NEXT</t>
  </si>
  <si>
    <t>SAHOVAT   +7 (936) 241 08 05 О959ХН790</t>
  </si>
  <si>
    <t>О 517 ХА 799</t>
  </si>
  <si>
    <t>О 781 ХА 799</t>
  </si>
  <si>
    <t>049</t>
  </si>
  <si>
    <t>Şehir</t>
  </si>
  <si>
    <t>Н 505 ВО 190</t>
  </si>
  <si>
    <t>Е 736 РО 08</t>
  </si>
  <si>
    <t>О 533 АК 977</t>
  </si>
  <si>
    <t>Е 292 ВУ 790</t>
  </si>
  <si>
    <t>Е 123 АО 250</t>
  </si>
  <si>
    <t>Е 278 ХУ 790</t>
  </si>
  <si>
    <t>Р 566 СМ 799</t>
  </si>
  <si>
    <t>С 947 СМ 790</t>
  </si>
  <si>
    <t>Н 745 СР 750</t>
  </si>
  <si>
    <t>У 079 УО 790</t>
  </si>
  <si>
    <t>К 089 КВ 550</t>
  </si>
  <si>
    <t>Н 901 КК 550</t>
  </si>
  <si>
    <t>К 300 КЕ 550</t>
  </si>
  <si>
    <t>Т 573 АН 550</t>
  </si>
  <si>
    <t>О 779 СЕ 790</t>
  </si>
  <si>
    <t>О 592 ХТ 790</t>
  </si>
  <si>
    <t>Т 326 ВХ 790</t>
  </si>
  <si>
    <t>С 592 ВТ 790</t>
  </si>
  <si>
    <t>А 782 СЕ 790</t>
  </si>
  <si>
    <t>У 860 СЕ 750</t>
  </si>
  <si>
    <t>Т 518 ВХ 790</t>
  </si>
  <si>
    <t>Binek araç</t>
  </si>
  <si>
    <t>К 615 СК 797</t>
  </si>
  <si>
    <t>487</t>
  </si>
  <si>
    <t>М 974 ТО 28</t>
  </si>
  <si>
    <t>600 тон</t>
  </si>
  <si>
    <t>ООО МИКРУСС</t>
  </si>
  <si>
    <t>DAVRISHEV ISA MIZAMOVICH</t>
  </si>
  <si>
    <t>IP TADAVERDYAN ZOGRAB KARAPETOVICH</t>
  </si>
  <si>
    <t>SEYIDOV MIRGASHAM YAKUP OGLU</t>
  </si>
  <si>
    <t>MAMEDOV TURAL BABEKOVICH</t>
  </si>
  <si>
    <t>COM-116</t>
  </si>
  <si>
    <t>COM-117</t>
  </si>
  <si>
    <t>260520038N</t>
  </si>
  <si>
    <t>ET SDN 390T-12CS</t>
  </si>
  <si>
    <t>2220x1870x1950 ММ.</t>
  </si>
  <si>
    <t>260520036N</t>
  </si>
  <si>
    <t>4BTAA3,9-C125-II</t>
  </si>
  <si>
    <t>ID No</t>
  </si>
  <si>
    <t>Makine Ekipman Tipi TR</t>
  </si>
  <si>
    <t>Makine Ekipman Tipi RU</t>
  </si>
  <si>
    <t>Marka / Model</t>
  </si>
  <si>
    <t>Üretim Yılı</t>
  </si>
  <si>
    <t>Motor Gücü (kW)</t>
  </si>
  <si>
    <t>Motor Marka ve Modeli</t>
  </si>
  <si>
    <t>Belge / Doküman</t>
  </si>
  <si>
    <t>Not</t>
  </si>
  <si>
    <t xml:space="preserve"> URC Moskova Makine Ekipman Parkı
 </t>
  </si>
  <si>
    <r>
      <t xml:space="preserve">URC </t>
    </r>
    <r>
      <rPr>
        <b/>
        <sz val="20"/>
        <color rgb="FFDA0000"/>
        <rFont val="Arial Black"/>
        <family val="2"/>
        <charset val="204"/>
      </rPr>
      <t>Kiralik</t>
    </r>
  </si>
  <si>
    <t>А 940 РХ 155</t>
  </si>
  <si>
    <t>30 тон</t>
  </si>
  <si>
    <t>LIEBHERR- LTR 1100 2.1</t>
  </si>
  <si>
    <t>LIEBHERR-LTM 1100-4.2</t>
  </si>
  <si>
    <t>HAULOTTE 41 RTJ PRO  (НС732)</t>
  </si>
  <si>
    <t>LIEBHERR LTM 1050</t>
  </si>
  <si>
    <t>PALFINQER SANY SRC 1200C</t>
  </si>
  <si>
    <t>ZOOMLION ZTC800V</t>
  </si>
  <si>
    <t>SINOBOOM AB 46 RT</t>
  </si>
  <si>
    <t>SINOBOOM  AB 46 RJ</t>
  </si>
  <si>
    <t xml:space="preserve">DINGLI BA 44 RT </t>
  </si>
  <si>
    <t>DINGLI BA 36 RT</t>
  </si>
  <si>
    <t>SINOBOOM AB26RJ PLUS</t>
  </si>
  <si>
    <t>HAULOTTE HA 41 RTJ PRO</t>
  </si>
  <si>
    <t xml:space="preserve">HAULOTTE HA 41 RTJ PRO </t>
  </si>
  <si>
    <t xml:space="preserve">DINGLI BA 41 RT </t>
  </si>
  <si>
    <t>HAULOTTE HA 32 RTJ PRO</t>
  </si>
  <si>
    <t>LIUGONG-LTC550L5</t>
  </si>
  <si>
    <t>ZOOMLION</t>
  </si>
  <si>
    <t>LIAZ 529354</t>
  </si>
  <si>
    <t>HYUNDAI STAREX</t>
  </si>
  <si>
    <t>KIA OPTIMA</t>
  </si>
  <si>
    <t>NISSAN TEANA</t>
  </si>
  <si>
    <t>FORD FOCUS</t>
  </si>
  <si>
    <t>SKODA OCTAVIA</t>
  </si>
  <si>
    <t>OTOBÜS</t>
  </si>
  <si>
    <t>FORD TRANSIT</t>
  </si>
  <si>
    <t>IVECO</t>
  </si>
  <si>
    <t>GAZEL</t>
  </si>
  <si>
    <t>HANGIL HGC 986</t>
  </si>
  <si>
    <t>KAMAZ 65115 HANGIL HGC 976</t>
  </si>
  <si>
    <t>REMEZA ДК-10/10</t>
  </si>
  <si>
    <t>OOO ARKADA-64</t>
  </si>
  <si>
    <t>OOO GABARIT</t>
  </si>
  <si>
    <t>OOO GENEZIS</t>
  </si>
  <si>
    <t>OOO ANTARES-RENT</t>
  </si>
  <si>
    <t>OOO MIKRUSS</t>
  </si>
  <si>
    <t>IP SMANALIEV AZAMAT KRIMOVICH</t>
  </si>
  <si>
    <t>OOO "NTT STROY"</t>
  </si>
  <si>
    <t>OOO "SPEKTR"</t>
  </si>
  <si>
    <t>OOO "TRAK PLATFORMA"</t>
  </si>
  <si>
    <t>OOO "AVTOKRAN ARENDA"</t>
  </si>
  <si>
    <t>IP MUSAYEV</t>
  </si>
  <si>
    <t>IP TADAVERDYAN  ZOGRAB KARAPETOVICH</t>
  </si>
  <si>
    <t>IP ZAMANOV ELSAD HATIG OGLU</t>
  </si>
  <si>
    <t>OOO M KRAN</t>
  </si>
  <si>
    <t>AO AVTOKRAN ARENDA</t>
  </si>
  <si>
    <t>OOO TOMAYLI</t>
  </si>
  <si>
    <t>OOO ATLANT</t>
  </si>
  <si>
    <t>IP SHMOYLOV</t>
  </si>
  <si>
    <t>KRANSPETSTSENTR</t>
  </si>
  <si>
    <t>IP "SMANALIEV"</t>
  </si>
  <si>
    <t>OOO "ATLANT"</t>
  </si>
  <si>
    <t>IP "CHERNOMURENKO"</t>
  </si>
  <si>
    <t>OOO "VERTEKS"</t>
  </si>
  <si>
    <t xml:space="preserve"> 350 тон</t>
  </si>
  <si>
    <t>220 тон (170 тон)</t>
  </si>
  <si>
    <t>230 тон(160 тон)</t>
  </si>
  <si>
    <t>120 тон</t>
  </si>
  <si>
    <t>80 тон</t>
  </si>
  <si>
    <t>60 тон</t>
  </si>
  <si>
    <t>Тип Транспортоного Средства ТР</t>
  </si>
  <si>
    <t>Тип Транспортоного Средства РУ</t>
  </si>
  <si>
    <t>55 тон</t>
  </si>
  <si>
    <t>35 тон</t>
  </si>
  <si>
    <t>32 тон</t>
  </si>
  <si>
    <t>URC Moskova Kiralık Makine Ekipman Parkı</t>
  </si>
  <si>
    <t>2250х920х1350 мм</t>
  </si>
  <si>
    <t xml:space="preserve"> Kia  Мotors D4CB-V-5</t>
  </si>
  <si>
    <t>Kaza sonrasi Sgorta sirketine gitti</t>
  </si>
  <si>
    <t>12,4 кВт</t>
  </si>
  <si>
    <t>JKBXL01.5BCC</t>
  </si>
  <si>
    <t>Kubota Corporation D1105-BG-EF01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</si>
</sst>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###"/>
  </numFmts>
  <fonts count="18"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8"/>
      <color rgb="FFDA0000"/>
      <name val="Arial Black"/>
      <family val="2"/>
      <charset val="204"/>
    </font>
    <font>
      <sz val="12"/>
      <name val="Calibri"/>
      <family val="2"/>
      <charset val="204"/>
      <scheme val="minor"/>
    </font>
    <font>
      <b/>
      <sz val="20"/>
      <color rgb="FFDA0000"/>
      <name val="Arial Black"/>
      <family val="2"/>
      <charset val="204"/>
    </font>
    <font>
      <b/>
      <sz val="22"/>
      <color rgb="FFDA0000"/>
      <name val="Arial Black"/>
      <family val="2"/>
      <charset val="204"/>
    </font>
    <font>
      <sz val="36"/>
      <color theme="1"/>
      <name val="Calibri"/>
      <family val="2"/>
      <charset val="204"/>
      <scheme val="minor"/>
    </font>
    <font>
      <sz val="14"/>
      <name val="Bahnschrift Light SemiCondensed"/>
      <family val="2"/>
      <charset val="204"/>
    </font>
    <font>
      <sz val="12"/>
      <color theme="1"/>
      <name val="robote"/>
      <charset val="204"/>
    </font>
    <font>
      <sz val="12"/>
      <name val="robote"/>
      <charset val="204"/>
    </font>
    <font>
      <b/>
      <sz val="13"/>
      <name val="robote"/>
      <charset val="204"/>
    </font>
    <font>
      <sz val="11"/>
      <color theme="1"/>
      <name val="robote"/>
      <charset val="204"/>
    </font>
    <font>
      <sz val="13"/>
      <color theme="1"/>
      <name val="robote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" fillId="3" borderId="9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left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164" fontId="5" fillId="2" borderId="4" xfId="0" quotePrefix="1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left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left" vertical="center" wrapText="1"/>
    </xf>
    <xf numFmtId="0" fontId="14" fillId="2" borderId="4" xfId="0" applyNumberFormat="1" applyFont="1" applyFill="1" applyBorder="1" applyAlignment="1">
      <alignment horizontal="center" vertical="center" wrapText="1"/>
    </xf>
    <xf numFmtId="49" fontId="14" fillId="0" borderId="4" xfId="0" applyNumberFormat="1" applyFont="1" applyFill="1" applyBorder="1" applyAlignment="1">
      <alignment horizontal="center" vertical="center" wrapText="1"/>
    </xf>
    <xf numFmtId="14" fontId="13" fillId="2" borderId="4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vertical="center"/>
    </xf>
    <xf numFmtId="164" fontId="13" fillId="2" borderId="4" xfId="0" quotePrefix="1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left" vertical="center"/>
    </xf>
    <xf numFmtId="49" fontId="14" fillId="0" borderId="4" xfId="0" applyNumberFormat="1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49" fontId="14" fillId="2" borderId="10" xfId="0" applyNumberFormat="1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vertical="center"/>
    </xf>
    <xf numFmtId="49" fontId="14" fillId="2" borderId="10" xfId="0" applyNumberFormat="1" applyFont="1" applyFill="1" applyBorder="1" applyAlignment="1">
      <alignment horizontal="left" vertical="center" wrapText="1"/>
    </xf>
    <xf numFmtId="0" fontId="14" fillId="2" borderId="10" xfId="0" applyNumberFormat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left" vertical="center"/>
    </xf>
    <xf numFmtId="49" fontId="14" fillId="0" borderId="3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49" fontId="14" fillId="5" borderId="3" xfId="0" applyNumberFormat="1" applyFont="1" applyFill="1" applyBorder="1" applyAlignment="1">
      <alignment horizontal="center" vertical="center"/>
    </xf>
    <xf numFmtId="0" fontId="14" fillId="2" borderId="3" xfId="0" applyNumberFormat="1" applyFont="1" applyFill="1" applyBorder="1" applyAlignment="1">
      <alignment horizontal="center" vertical="center"/>
    </xf>
    <xf numFmtId="0" fontId="14" fillId="5" borderId="3" xfId="0" applyNumberFormat="1" applyFont="1" applyFill="1" applyBorder="1" applyAlignment="1">
      <alignment horizontal="center" vertical="center"/>
    </xf>
    <xf numFmtId="49" fontId="14" fillId="5" borderId="3" xfId="0" quotePrefix="1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49" fontId="15" fillId="3" borderId="9" xfId="0" applyNumberFormat="1" applyFont="1" applyFill="1" applyBorder="1" applyAlignment="1">
      <alignment horizontal="center" vertical="center"/>
    </xf>
    <xf numFmtId="49" fontId="15" fillId="3" borderId="9" xfId="0" applyNumberFormat="1" applyFont="1" applyFill="1" applyBorder="1" applyAlignment="1">
      <alignment horizontal="center" vertical="center" wrapText="1"/>
    </xf>
    <xf numFmtId="49" fontId="14" fillId="0" borderId="3" xfId="0" applyNumberFormat="1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49" fontId="14" fillId="6" borderId="4" xfId="0" applyNumberFormat="1" applyFont="1" applyFill="1" applyBorder="1" applyAlignment="1">
      <alignment horizontal="center" vertical="center" wrapText="1"/>
    </xf>
    <xf numFmtId="49" fontId="14" fillId="6" borderId="4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numFmt numFmtId="165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e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e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robote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Стиль среза 1" pivot="0" table="0" count="10" xr9:uid="{EFC77E2F-6B7A-4396-A631-E2ECA48E05CD}">
      <tableStyleElement type="wholeTable" dxfId="81"/>
      <tableStyleElement type="headerRow" dxfId="80"/>
    </tableStyle>
  </tableStyles>
  <colors>
    <mruColors>
      <color rgb="FF3CFFFA"/>
      <color rgb="FF3FFFF6"/>
      <color rgb="FF03E7ED"/>
      <color rgb="FFDA0000"/>
      <color rgb="FF02EEDD"/>
    </mruColors>
  </colors>
  <extLst>
    <ext xmlns:x14="http://schemas.microsoft.com/office/spreadsheetml/2009/9/main" uri="{46F421CA-312F-682f-3DD2-61675219B42D}">
      <x14:dxfs count="8">
        <dxf>
          <font>
            <sz val="16"/>
          </font>
          <fill>
            <patternFill patternType="solid">
              <fgColor auto="1"/>
              <bgColor theme="5" tint="0.59996337778862885"/>
            </patternFill>
          </fill>
        </dxf>
        <dxf>
          <font>
            <sz val="16"/>
          </font>
          <fill>
            <patternFill patternType="solid">
              <bgColor auto="1"/>
            </patternFill>
          </fill>
        </dxf>
        <dxf>
          <font>
            <sz val="16"/>
          </font>
          <fill>
            <patternFill patternType="solid">
              <fgColor auto="1"/>
              <bgColor theme="7" tint="0.59996337778862885"/>
            </patternFill>
          </fill>
        </dxf>
        <dxf>
          <font>
            <sz val="16"/>
          </font>
          <fill>
            <patternFill patternType="solid">
              <bgColor theme="5" tint="0.59996337778862885"/>
            </patternFill>
          </fill>
        </dxf>
        <dxf>
          <fill>
            <patternFill patternType="solid">
              <fgColor indexed="64"/>
              <bgColor auto="1"/>
            </patternFill>
          </fill>
        </dxf>
        <dxf>
          <font>
            <sz val="14"/>
          </font>
          <fill>
            <patternFill patternType="solid">
              <fgColor auto="1"/>
              <bgColor theme="5" tint="0.59996337778862885"/>
            </patternFill>
          </fill>
          <border>
            <left style="dashed">
              <color rgb="FF00B0F0"/>
            </left>
            <right style="dashed">
              <color rgb="FF00B0F0"/>
            </right>
            <top style="dashed">
              <color rgb="FF00B0F0"/>
            </top>
            <bottom style="dashed">
              <color rgb="FF00B0F0"/>
            </bottom>
          </border>
        </dxf>
        <dxf>
          <fill>
            <patternFill patternType="none">
              <bgColor auto="1"/>
            </patternFill>
          </fill>
        </dxf>
        <dxf>
          <fill>
            <patternFill patternType="solid">
              <bgColor auto="1"/>
            </patternFill>
          </fill>
        </dxf>
      </x14:dxfs>
    </ext>
    <ext xmlns:x14="http://schemas.microsoft.com/office/spreadsheetml/2009/9/main" uri="{EB79DEF2-80B8-43e5-95BD-54CBDDF9020C}">
      <x14:slicerStyles defaultSlicerStyle="Стиль среза 1">
        <x14:slicerStyle name="Стиль среза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297034</xdr:colOff>
      <xdr:row>0</xdr:row>
      <xdr:rowOff>0</xdr:rowOff>
    </xdr:from>
    <xdr:to>
      <xdr:col>4</xdr:col>
      <xdr:colOff>311364</xdr:colOff>
      <xdr:row>0</xdr:row>
      <xdr:rowOff>1064558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Şantiye">
              <a:extLst>
                <a:ext uri="{FF2B5EF4-FFF2-40B4-BE49-F238E27FC236}">
                  <a16:creationId xmlns:a16="http://schemas.microsoft.com/office/drawing/2014/main" id="{31DBA7A4-1025-49C0-B82D-82CA2BA68D12}"/>
                </a:ext>
                <a:ext uri="{C183D7F6-B498-43B3-948B-1728B52AA6E4}">
                  <adec:decorative xmlns:adec="http://schemas.microsoft.com/office/drawing/2017/decorative" val="1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Şantiy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9927" y="0"/>
              <a:ext cx="2300330" cy="10645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67234</xdr:colOff>
      <xdr:row>0</xdr:row>
      <xdr:rowOff>89646</xdr:rowOff>
    </xdr:from>
    <xdr:to>
      <xdr:col>2</xdr:col>
      <xdr:colOff>67234</xdr:colOff>
      <xdr:row>0</xdr:row>
      <xdr:rowOff>907676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64866D2-3D78-4F1C-9DD5-9BCC367D3D2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2" y="89646"/>
          <a:ext cx="1053353" cy="81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2664200</xdr:colOff>
      <xdr:row>0</xdr:row>
      <xdr:rowOff>79162</xdr:rowOff>
    </xdr:from>
    <xdr:to>
      <xdr:col>7</xdr:col>
      <xdr:colOff>372997</xdr:colOff>
      <xdr:row>0</xdr:row>
      <xdr:rowOff>1055754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 Şantiye">
              <a:extLst>
                <a:ext uri="{FF2B5EF4-FFF2-40B4-BE49-F238E27FC236}">
                  <a16:creationId xmlns:a16="http://schemas.microsoft.com/office/drawing/2014/main" id="{14BACF84-8C9F-450A-9920-F4CB0932EE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Şantiy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7021" y="79162"/>
              <a:ext cx="2471297" cy="9765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лощадка1" xr10:uid="{98734364-9134-46C4-A355-4EEA9D1D1544}" sourceName=" Площадка">
  <extLst>
    <x:ext xmlns:x15="http://schemas.microsoft.com/office/spreadsheetml/2010/11/main" uri="{2F2917AC-EB37-4324-AD4E-5DD8C200BD13}">
      <x15:tableSlicerCache tableId="4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лощадка" xr10:uid="{4A81D7C1-BBF7-4292-BB6C-19A78314DF6B}" sourceName=" Площадка">
  <extLst>
    <x:ext xmlns:x15="http://schemas.microsoft.com/office/spreadsheetml/2010/11/main" uri="{2F2917AC-EB37-4324-AD4E-5DD8C200BD13}">
      <x15:tableSlicerCache tableId="3" column="3" crossFilter="showItemsWithNoData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Şantiye" xr10:uid="{3DD7EEE5-54FF-44EF-9268-23A966DA89D6}" cache="Срез_Площадка" caption="Şantiye" columnCount="2" rowHeight="3048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 Şantiye" xr10:uid="{A0396378-3DA3-4574-9812-5590EE7AF58A}" cache="Срез_Площадка1" caption=" Şantiye" columnCount="2" rowHeight="3048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69A7D-3721-480B-B503-EE676B532186}" name="Таблица3" displayName="Таблица3" ref="A3:S99" totalsRowShown="0" headerRowDxfId="64" dataDxfId="62" headerRowBorderDxfId="63" tableBorderDxfId="61" totalsRowBorderDxfId="60">
  <autoFilter ref="A3:S99" xr:uid="{75C69A7D-3721-480B-B503-EE676B532186}"/>
  <tableColumns count="19">
    <tableColumn id="1" xr3:uid="{9CABADA3-2C30-4C4D-9FD5-6AA021FBDA26}" name="№" dataDxfId="59">
      <calculatedColumnFormula>SUBTOTAL(3,B$4:B4)</calculatedColumnFormula>
    </tableColumn>
    <tableColumn id="4" xr3:uid="{1DB7E6A2-7F1C-441E-B283-93E7D221A6CC}" name="ID_x000a_Номер" dataDxfId="58"/>
    <tableColumn id="3" xr3:uid="{B3986794-9783-470E-BE03-25484EA8BCC8}" name=" Площадка" dataDxfId="57"/>
    <tableColumn id="5" xr3:uid="{8BF0F5A8-9F7F-433A-9589-8D7313DF5B1C}" name="Тип Транспортного Средства ТР" dataDxfId="56"/>
    <tableColumn id="6" xr3:uid="{79286BF9-8B90-4BE4-8135-69E9F2A9FDE7}" name="Тип Транспортного Средства РУ" dataDxfId="55"/>
    <tableColumn id="7" xr3:uid="{6E21F7F0-F714-4D36-B00F-1187BFD3CAB7}" name="Марка/Модел" dataDxfId="54"/>
    <tableColumn id="8" xr3:uid="{11D6E65A-CBC0-439F-872C-CD33F8710A96}" name="Гос Номер" dataDxfId="53"/>
    <tableColumn id="9" xr3:uid="{4B613796-DFC4-4B2E-AE82-0C33D9E62E02}" name="VIN №" dataDxfId="52"/>
    <tableColumn id="10" xr3:uid="{61D69B5C-9EB3-4FDD-AF59-261DD0C262FB}" name="Характеристики" dataDxfId="51"/>
    <tableColumn id="11" xr3:uid="{ED7FF8A5-7F69-4170-AED8-DEABACCEB10E}" name="Год Выпуска, г" dataDxfId="50"/>
    <tableColumn id="12" xr3:uid="{E37859EF-B440-478C-A5F7-51B542872845}" name="Вес ,Кг" dataDxfId="49"/>
    <tableColumn id="13" xr3:uid="{925BF1D5-3D9E-4F4D-895B-382B171CF4ED}" name="Габаритные Размеры _x000a_(Д, Ш, В)" dataDxfId="48"/>
    <tableColumn id="14" xr3:uid="{0718AF0F-90F8-469D-83ED-FFCE430971CA}" name="Мощность Двигателя, кВт" dataDxfId="47"/>
    <tableColumn id="15" xr3:uid="{193400B3-7B24-41EA-8A17-7EC1E54BDEA8}" name="Марка_x000a_Двигателя" dataDxfId="46"/>
    <tableColumn id="16" xr3:uid="{1260540D-60C1-4AC9-B27E-AA8A7DB9F376}" name="Номер_x000a_Двигателя" dataDxfId="45"/>
    <tableColumn id="17" xr3:uid="{D0FA3EC9-D013-4B46-B345-1F23386A7C69}" name="Зарегистрированная фирма" dataDxfId="44"/>
    <tableColumn id="18" xr3:uid="{3CFFBBF8-BF1C-49C8-847A-64427E0F23BF}" name="Дата Поступления" dataDxfId="43"/>
    <tableColumn id="19" xr3:uid="{6E420C58-CA6A-4718-857C-7EAB8A698E20}" name="Документы" dataDxfId="42"/>
    <tableColumn id="20" xr3:uid="{B1A0C738-CF29-4B6D-9668-6DFCA317756B}" name="Описание" dataDxfId="4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B826B1-26A6-470E-A100-C2CA604D93AA}" name="Таблица4" displayName="Таблица4" ref="A2:K98" totalsRowShown="0" headerRowDxfId="39" dataDxfId="37" headerRowBorderDxfId="38" tableBorderDxfId="36">
  <autoFilter ref="A2:K98" xr:uid="{3DB826B1-26A6-470E-A100-C2CA604D93AA}"/>
  <tableColumns count="11">
    <tableColumn id="1" xr3:uid="{D12BC139-38B0-42CD-8391-30B7DD849327}" name="№" dataDxfId="35">
      <calculatedColumnFormula>SUBTOTAL(3,C$3:C3)</calculatedColumnFormula>
    </tableColumn>
    <tableColumn id="2" xr3:uid="{0156A2E4-B5F2-435F-A004-73C7811868E0}" name="Фирма" dataDxfId="34"/>
    <tableColumn id="3" xr3:uid="{70C26CEA-03AB-4EEE-AF18-34FC4065E754}" name=" Площадка" dataDxfId="33"/>
    <tableColumn id="4" xr3:uid="{D09F2892-6A64-439F-8BFB-D62637FFC26E}" name="ID_x000a_Номер" dataDxfId="32"/>
    <tableColumn id="5" xr3:uid="{AA9B663E-7AAA-4A00-9898-723FE1468DDD}" name="Тип Транспортоного Средства ТР" dataDxfId="31"/>
    <tableColumn id="6" xr3:uid="{79AE12A3-BECE-4B04-B294-52CB3649C72C}" name="Тип Транспортоного Средства РУ" dataDxfId="30"/>
    <tableColumn id="7" xr3:uid="{351352BC-F2BA-4F8D-A5B7-7F9B63D84340}" name="Марка/Модел" dataDxfId="29"/>
    <tableColumn id="8" xr3:uid="{3FEA6BF9-E718-4E75-AA32-941AFC4E96B3}" name="Гос Номер" dataDxfId="28"/>
    <tableColumn id="9" xr3:uid="{44770A36-6C9D-47F3-BF45-E4DEC4BFEC5D}" name="характеристики" dataDxfId="27"/>
    <tableColumn id="10" xr3:uid="{951D1FB9-2954-4AD0-B520-5703D21E5E3E}" name="Дата Начала" dataDxfId="26"/>
    <tableColumn id="12" xr3:uid="{EA3D5483-0F93-4FC2-84D9-5336A4123E5E}" name="Описание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223C4-8D51-4F5E-B23D-9D5DA1E717DF}" name="Таблица42" displayName="Таблица42" ref="A1:L63" totalsRowShown="0" headerRowDxfId="20" dataDxfId="18" headerRowBorderDxfId="19" tableBorderDxfId="17">
  <autoFilter ref="A1:L63" xr:uid="{94A223C4-8D51-4F5E-B23D-9D5DA1E717DF}"/>
  <tableColumns count="12">
    <tableColumn id="1" xr3:uid="{BEEA3E0F-FC6D-4ABA-B68E-2A9874AE05AD}" name="№" dataDxfId="16"/>
    <tableColumn id="2" xr3:uid="{41704325-5BEA-410C-89F5-7EAFBE3AD0E1}" name="Фирма" dataDxfId="15"/>
    <tableColumn id="3" xr3:uid="{A336A6E3-49BC-4882-8364-22D2F6D9CB46}" name=" Площадка" dataDxfId="14"/>
    <tableColumn id="4" xr3:uid="{97A9E328-1ED6-4E27-A1CC-AE4848E0BC7A}" name="ID_x000a_Номер" dataDxfId="13"/>
    <tableColumn id="5" xr3:uid="{08D37B21-CC2B-49C6-B944-2D752A9A7BBA}" name="Тип Транспортного Средства ТР" dataDxfId="12"/>
    <tableColumn id="6" xr3:uid="{4F390F72-9FD1-442E-90B6-B09886384886}" name="Тип Транспортного Средства РУ" dataDxfId="11"/>
    <tableColumn id="7" xr3:uid="{5C84BE59-C6E9-47D6-8328-5F0DB0D25612}" name="Марка/Модел" dataDxfId="10"/>
    <tableColumn id="8" xr3:uid="{C294E167-5CD0-4CF4-96B4-035661FD4CF3}" name="Гос Номер" dataDxfId="9"/>
    <tableColumn id="9" xr3:uid="{2855E09B-88A7-4F48-A6D8-8D818352A846}" name="характеристики" dataDxfId="8"/>
    <tableColumn id="10" xr3:uid="{6E648E79-739B-495C-AEFF-E672EA970917}" name="Дата Начала" dataDxfId="7"/>
    <tableColumn id="11" xr3:uid="{7078AE69-5E8D-457B-80B4-F4B6E0F8169E}" name="Дата Окончания" dataDxfId="6"/>
    <tableColumn id="12" xr3:uid="{F6C1054C-A02A-4C52-A343-CB0472FFA5CA}" name="Описание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99CC-E67B-4A6C-A6F8-B632E967E15B}">
  <sheetPr codeName="Лист1"/>
  <dimension ref="B1:R23"/>
  <sheetViews>
    <sheetView showGridLines="0" topLeftCell="B1" zoomScale="80" zoomScaleNormal="80" workbookViewId="0">
      <selection activeCell="O25" sqref="O25"/>
    </sheetView>
  </sheetViews>
  <sheetFormatPr defaultRowHeight="14.25"/>
  <cols>
    <col min="1" max="2" width="10" customWidth="1"/>
    <col min="3" max="3" width="32" customWidth="1"/>
    <col min="4" max="4" width="2" bestFit="1" customWidth="1"/>
    <col min="5" max="5" width="10" style="5" customWidth="1"/>
    <col min="6" max="6" width="35.6640625" bestFit="1" customWidth="1"/>
    <col min="7" max="11" width="9.46484375" customWidth="1"/>
    <col min="12" max="12" width="5.6640625" customWidth="1"/>
    <col min="13" max="13" width="35.6640625" bestFit="1" customWidth="1"/>
    <col min="14" max="18" width="9.46484375" customWidth="1"/>
  </cols>
  <sheetData>
    <row r="1" spans="2:18" ht="32.25" customHeight="1">
      <c r="F1" s="36" t="s">
        <v>71</v>
      </c>
      <c r="M1" s="37" t="s">
        <v>837</v>
      </c>
    </row>
    <row r="2" spans="2:18" s="35" customFormat="1" ht="31.5">
      <c r="B2" s="29" t="s">
        <v>688</v>
      </c>
      <c r="C2" s="6" t="s">
        <v>497</v>
      </c>
      <c r="E2" s="52" t="s">
        <v>689</v>
      </c>
      <c r="F2" s="51" t="s">
        <v>401</v>
      </c>
      <c r="G2" s="51" t="s">
        <v>489</v>
      </c>
      <c r="H2" s="51" t="s">
        <v>35</v>
      </c>
      <c r="I2" s="51" t="s">
        <v>11</v>
      </c>
      <c r="J2" s="52" t="s">
        <v>467</v>
      </c>
      <c r="K2" s="51" t="s">
        <v>700</v>
      </c>
      <c r="M2" s="51" t="s">
        <v>401</v>
      </c>
      <c r="N2" s="51" t="s">
        <v>489</v>
      </c>
      <c r="O2" s="51" t="s">
        <v>35</v>
      </c>
      <c r="P2" s="51" t="s">
        <v>11</v>
      </c>
      <c r="Q2" s="52" t="s">
        <v>467</v>
      </c>
      <c r="R2" s="51" t="s">
        <v>700</v>
      </c>
    </row>
    <row r="3" spans="2:18" s="14" customFormat="1" ht="20.100000000000001" customHeight="1">
      <c r="B3" s="27" t="s">
        <v>230</v>
      </c>
      <c r="C3" s="33" t="s">
        <v>231</v>
      </c>
      <c r="D3" s="30"/>
      <c r="E3" s="27" t="s">
        <v>230</v>
      </c>
      <c r="F3" s="31" t="s">
        <v>385</v>
      </c>
      <c r="G3" s="27">
        <f>COUNTIFS('Ekipman Listesi'!C:C,"Ofis",'Ekipman Listesi'!D:D,F3)</f>
        <v>11</v>
      </c>
      <c r="H3" s="27">
        <f>COUNTIFS('Ekipman Listesi'!C:C,'Svodka (Özet Tablo)'!H$2,'Ekipman Listesi'!D:D,F3)</f>
        <v>0</v>
      </c>
      <c r="I3" s="27">
        <f>COUNTIFS('Ekipman Listesi'!C:C,'Svodka (Özet Tablo)'!I$2,'Ekipman Listesi'!D:D,F3)</f>
        <v>0</v>
      </c>
      <c r="J3" s="27">
        <f>COUNTIFS('Ekipman Listesi'!C:C,'Svodka (Özet Tablo)'!J$2,'Ekipman Listesi'!D:D,F3)</f>
        <v>0</v>
      </c>
      <c r="K3" s="27">
        <f>SUM(G3:J3)</f>
        <v>11</v>
      </c>
      <c r="L3" s="30"/>
      <c r="M3" s="31" t="s">
        <v>385</v>
      </c>
      <c r="N3" s="27">
        <f>COUNTIFS('Kiralık Ekipman Listesi'!E:E,M3,'Kiralık Ekipman Listesi'!C:C,"Ofis")</f>
        <v>14</v>
      </c>
      <c r="O3" s="27">
        <f>COUNTIFS('Kiralık Ekipman Listesi'!E:E,M3,'Kiralık Ekipman Listesi'!C:C,"DCU")</f>
        <v>0</v>
      </c>
      <c r="P3" s="27">
        <f>COUNTIFS('Kiralık Ekipman Listesi'!E:E,M3,'Kiralık Ekipman Listesi'!C:C,"SRU")</f>
        <v>0</v>
      </c>
      <c r="Q3" s="27">
        <f>COUNTIFS('Kiralık Ekipman Listesi'!E:E,M3,'Kiralık Ekipman Listesi'!C:C,"GARAJ-AMBAR")</f>
        <v>0</v>
      </c>
      <c r="R3" s="27">
        <f>SUM(N3:Q3)</f>
        <v>14</v>
      </c>
    </row>
    <row r="4" spans="2:18" s="14" customFormat="1" ht="20.100000000000001" customHeight="1">
      <c r="B4" s="27" t="s">
        <v>197</v>
      </c>
      <c r="C4" s="33" t="s">
        <v>186</v>
      </c>
      <c r="D4" s="30"/>
      <c r="E4" s="27" t="s">
        <v>197</v>
      </c>
      <c r="F4" s="31" t="s">
        <v>387</v>
      </c>
      <c r="G4" s="27">
        <f>COUNTIFS('Ekipman Listesi'!C:C,"Ofis",'Ekipman Listesi'!D:D,F4)</f>
        <v>7</v>
      </c>
      <c r="H4" s="27">
        <f>COUNTIFS('Ekipman Listesi'!C:C,'Svodka (Özet Tablo)'!H$2,'Ekipman Listesi'!D:D,F4)</f>
        <v>0</v>
      </c>
      <c r="I4" s="27">
        <f>COUNTIFS('Ekipman Listesi'!C:C,'Svodka (Özet Tablo)'!I$2,'Ekipman Listesi'!D:D,F4)</f>
        <v>0</v>
      </c>
      <c r="J4" s="27">
        <f>COUNTIFS('Ekipman Listesi'!C:C,'Svodka (Özet Tablo)'!J$2,'Ekipman Listesi'!D:D,F4)</f>
        <v>0</v>
      </c>
      <c r="K4" s="27">
        <f t="shared" ref="K4:K17" si="0">SUM(G4:J4)</f>
        <v>7</v>
      </c>
      <c r="L4" s="30"/>
      <c r="M4" s="31" t="s">
        <v>387</v>
      </c>
      <c r="N4" s="27">
        <f>COUNTIFS('Kiralık Ekipman Listesi'!E:E,M4,'Kiralık Ekipman Listesi'!C:C,"Ofis")</f>
        <v>3</v>
      </c>
      <c r="O4" s="27">
        <f>COUNTIFS('Kiralık Ekipman Listesi'!E:E,M4,'Kiralık Ekipman Listesi'!C:C,"DCU")</f>
        <v>0</v>
      </c>
      <c r="P4" s="27">
        <f>COUNTIFS('Kiralık Ekipman Listesi'!E:E,M4,'Kiralık Ekipman Listesi'!C:C,"SRU")</f>
        <v>0</v>
      </c>
      <c r="Q4" s="27">
        <f>COUNTIFS('Kiralık Ekipman Listesi'!E:E,M4,'Kiralık Ekipman Listesi'!C:C,"GARAJ-AMBAR")</f>
        <v>0</v>
      </c>
      <c r="R4" s="27">
        <f t="shared" ref="R4:R14" si="1">SUM(N4:Q4)</f>
        <v>3</v>
      </c>
    </row>
    <row r="5" spans="2:18" s="14" customFormat="1" ht="20.100000000000001" customHeight="1">
      <c r="B5" s="27" t="s">
        <v>207</v>
      </c>
      <c r="C5" s="33" t="s">
        <v>202</v>
      </c>
      <c r="D5" s="30"/>
      <c r="E5" s="27" t="s">
        <v>207</v>
      </c>
      <c r="F5" s="31" t="s">
        <v>393</v>
      </c>
      <c r="G5" s="27">
        <f>COUNTIFS('Ekipman Listesi'!C:C,"Ofis",'Ekipman Listesi'!D:D,F5)</f>
        <v>6</v>
      </c>
      <c r="H5" s="27">
        <f>COUNTIFS('Ekipman Listesi'!C:C,'Svodka (Özet Tablo)'!H$2,'Ekipman Listesi'!D:D,F5)</f>
        <v>0</v>
      </c>
      <c r="I5" s="27">
        <f>COUNTIFS('Ekipman Listesi'!C:C,'Svodka (Özet Tablo)'!I$2,'Ekipman Listesi'!D:D,F5)</f>
        <v>0</v>
      </c>
      <c r="J5" s="27">
        <f>COUNTIFS('Ekipman Listesi'!C:C,'Svodka (Özet Tablo)'!J$2,'Ekipman Listesi'!D:D,F5)</f>
        <v>0</v>
      </c>
      <c r="K5" s="27">
        <f>SUM(G5:J5)</f>
        <v>6</v>
      </c>
      <c r="L5" s="30"/>
      <c r="M5" s="20" t="s">
        <v>393</v>
      </c>
      <c r="N5" s="27">
        <f>COUNTIFS('Kiralık Ekipman Listesi'!E:E,M5,'Kiralık Ekipman Listesi'!C:C,"Ofis")</f>
        <v>12</v>
      </c>
      <c r="O5" s="27">
        <f>COUNTIFS('Kiralık Ekipman Listesi'!E:E,M5,'Kiralık Ekipman Listesi'!C:C,"DCU")</f>
        <v>0</v>
      </c>
      <c r="P5" s="27">
        <f>COUNTIFS('Kiralık Ekipman Listesi'!E:E,M5,'Kiralık Ekipman Listesi'!C:C,"SRU")</f>
        <v>0</v>
      </c>
      <c r="Q5" s="27">
        <f>COUNTIFS('Kiralık Ekipman Listesi'!E:E,M5,'Kiralık Ekipman Listesi'!C:C,"GARAJ-AMBAR")</f>
        <v>0</v>
      </c>
      <c r="R5" s="27">
        <f t="shared" ref="R5:R10" si="2">SUM(N5:Q5)</f>
        <v>12</v>
      </c>
    </row>
    <row r="6" spans="2:18" s="14" customFormat="1" ht="20.100000000000001" customHeight="1">
      <c r="B6" s="27" t="s">
        <v>207</v>
      </c>
      <c r="C6" s="20" t="s">
        <v>508</v>
      </c>
      <c r="D6" s="30"/>
      <c r="E6" s="27" t="s">
        <v>207</v>
      </c>
      <c r="F6" s="31" t="s">
        <v>695</v>
      </c>
      <c r="G6" s="27">
        <f>COUNTIFS('Ekipman Listesi'!C:C,"Ofis",'Ekipman Listesi'!D:D,F6)</f>
        <v>2</v>
      </c>
      <c r="H6" s="27">
        <f>COUNTIFS('Ekipman Listesi'!C:C,'Svodka (Özet Tablo)'!H$2,'Ekipman Listesi'!D:D,F6)</f>
        <v>0</v>
      </c>
      <c r="I6" s="27">
        <f>COUNTIFS('Ekipman Listesi'!C:C,'Svodka (Özet Tablo)'!I$2,'Ekipman Listesi'!D:D,F6)</f>
        <v>0</v>
      </c>
      <c r="J6" s="27">
        <f>COUNTIFS('Ekipman Listesi'!C:C,'Svodka (Özet Tablo)'!J$2,'Ekipman Listesi'!D:D,F6)</f>
        <v>0</v>
      </c>
      <c r="K6" s="27">
        <f>SUM(G6:J6)</f>
        <v>2</v>
      </c>
      <c r="L6" s="30"/>
      <c r="M6" s="20" t="s">
        <v>695</v>
      </c>
      <c r="N6" s="27">
        <f>COUNTIFS('Kiralık Ekipman Listesi'!E:E,M6,'Kiralık Ekipman Listesi'!C:C,"Ofis")</f>
        <v>0</v>
      </c>
      <c r="O6" s="27">
        <f>COUNTIFS('Kiralık Ekipman Listesi'!E:E,M6,'Kiralık Ekipman Listesi'!C:C,"DCU")</f>
        <v>0</v>
      </c>
      <c r="P6" s="27">
        <f>COUNTIFS('Kiralık Ekipman Listesi'!E:E,M6,'Kiralık Ekipman Listesi'!C:C,"SRU")</f>
        <v>0</v>
      </c>
      <c r="Q6" s="27">
        <f>COUNTIFS('Kiralık Ekipman Listesi'!E:E,M6,'Kiralık Ekipman Listesi'!C:C,"GARAJ-AMBAR")</f>
        <v>0</v>
      </c>
      <c r="R6" s="27">
        <f t="shared" si="2"/>
        <v>0</v>
      </c>
    </row>
    <row r="7" spans="2:18" s="14" customFormat="1" ht="20.100000000000001" customHeight="1">
      <c r="B7" s="27" t="s">
        <v>72</v>
      </c>
      <c r="C7" s="33" t="s">
        <v>73</v>
      </c>
      <c r="D7" s="30"/>
      <c r="E7" s="27" t="s">
        <v>72</v>
      </c>
      <c r="F7" s="31" t="s">
        <v>386</v>
      </c>
      <c r="G7" s="27">
        <f>COUNTIFS('Ekipman Listesi'!C:C,"Ofis",'Ekipman Listesi'!D:D,F7)</f>
        <v>0</v>
      </c>
      <c r="H7" s="27">
        <f>COUNTIFS('Ekipman Listesi'!C:C,'Svodka (Özet Tablo)'!H$2,'Ekipman Listesi'!D:D,F7)</f>
        <v>1</v>
      </c>
      <c r="I7" s="27">
        <f>COUNTIFS('Ekipman Listesi'!C:C,'Svodka (Özet Tablo)'!I$2,'Ekipman Listesi'!D:D,F7)</f>
        <v>1</v>
      </c>
      <c r="J7" s="27">
        <f>COUNTIFS('Ekipman Listesi'!C:C,'Svodka (Özet Tablo)'!J$2,'Ekipman Listesi'!D:D,F7)</f>
        <v>0</v>
      </c>
      <c r="K7" s="27">
        <f>SUM(G7:J7)</f>
        <v>2</v>
      </c>
      <c r="L7" s="30"/>
      <c r="M7" s="31" t="s">
        <v>386</v>
      </c>
      <c r="N7" s="27">
        <f>COUNTIFS('Kiralık Ekipman Listesi'!E:E,M7,'Kiralık Ekipman Listesi'!C:C,"Ofis")</f>
        <v>0</v>
      </c>
      <c r="O7" s="27">
        <f>COUNTIFS('Kiralık Ekipman Listesi'!E:E,M7,'Kiralık Ekipman Listesi'!C:C,"DCU")</f>
        <v>1</v>
      </c>
      <c r="P7" s="27">
        <f>COUNTIFS('Kiralık Ekipman Listesi'!E:E,M7,'Kiralık Ekipman Listesi'!C:C,"SRU")</f>
        <v>0</v>
      </c>
      <c r="Q7" s="27">
        <f>COUNTIFS('Kiralık Ekipman Listesi'!E:E,M7,'Kiralık Ekipman Listesi'!C:C,"GARAJ-AMBAR")</f>
        <v>0</v>
      </c>
      <c r="R7" s="27">
        <f t="shared" si="2"/>
        <v>1</v>
      </c>
    </row>
    <row r="8" spans="2:18" s="14" customFormat="1" ht="20.100000000000001" customHeight="1">
      <c r="B8" s="27" t="s">
        <v>117</v>
      </c>
      <c r="C8" s="33" t="s">
        <v>116</v>
      </c>
      <c r="D8" s="30"/>
      <c r="E8" s="27" t="s">
        <v>117</v>
      </c>
      <c r="F8" s="31" t="s">
        <v>399</v>
      </c>
      <c r="G8" s="27">
        <f>COUNTIFS('Ekipman Listesi'!C:C,"Ofis",'Ekipman Listesi'!D:D,F8)</f>
        <v>0</v>
      </c>
      <c r="H8" s="27">
        <f>COUNTIFS('Ekipman Listesi'!C:C,'Svodka (Özet Tablo)'!H$2,'Ekipman Listesi'!D:D,F8)</f>
        <v>1</v>
      </c>
      <c r="I8" s="27">
        <f>COUNTIFS('Ekipman Listesi'!C:C,'Svodka (Özet Tablo)'!I$2,'Ekipman Listesi'!D:D,F8)</f>
        <v>1</v>
      </c>
      <c r="J8" s="27">
        <f>COUNTIFS('Ekipman Listesi'!C:C,'Svodka (Özet Tablo)'!J$2,'Ekipman Listesi'!D:D,F8)</f>
        <v>0</v>
      </c>
      <c r="K8" s="27">
        <f>SUM(G8:J8)</f>
        <v>2</v>
      </c>
      <c r="L8" s="30"/>
      <c r="M8" s="33" t="s">
        <v>399</v>
      </c>
      <c r="N8" s="27">
        <f>COUNTIFS('Kiralık Ekipman Listesi'!E:E,M8,'Kiralık Ekipman Listesi'!C:C,"Ofis")</f>
        <v>0</v>
      </c>
      <c r="O8" s="27">
        <f>COUNTIFS('Kiralık Ekipman Listesi'!E:E,M8,'Kiralık Ekipman Listesi'!C:C,"DCU")</f>
        <v>1</v>
      </c>
      <c r="P8" s="27">
        <f>COUNTIFS('Kiralık Ekipman Listesi'!E:E,M8,'Kiralık Ekipman Listesi'!C:C,"SRU")</f>
        <v>0</v>
      </c>
      <c r="Q8" s="27">
        <f>COUNTIFS('Kiralık Ekipman Listesi'!E:E,M8,'Kiralık Ekipman Listesi'!C:C,"GARAJ-AMBAR")</f>
        <v>0</v>
      </c>
      <c r="R8" s="27">
        <f t="shared" si="2"/>
        <v>1</v>
      </c>
    </row>
    <row r="9" spans="2:18" s="14" customFormat="1" ht="20.100000000000001" customHeight="1">
      <c r="B9" s="27" t="s">
        <v>56</v>
      </c>
      <c r="C9" s="33" t="s">
        <v>615</v>
      </c>
      <c r="D9" s="30"/>
      <c r="E9" s="28" t="s">
        <v>56</v>
      </c>
      <c r="F9" s="32" t="s">
        <v>400</v>
      </c>
      <c r="G9" s="27">
        <f>COUNTIFS('Ekipman Listesi'!C:C,"Ofis",'Ekipman Listesi'!D:D,F9)</f>
        <v>0</v>
      </c>
      <c r="H9" s="27">
        <f>COUNTIFS('Ekipman Listesi'!C:C,'Svodka (Özet Tablo)'!H$2,'Ekipman Listesi'!D:D,F9)</f>
        <v>0</v>
      </c>
      <c r="I9" s="27">
        <f>COUNTIFS('Ekipman Listesi'!C:C,'Svodka (Özet Tablo)'!I$2,'Ekipman Listesi'!D:D,F9)</f>
        <v>3</v>
      </c>
      <c r="J9" s="27">
        <f>COUNTIFS('Ekipman Listesi'!C:C,'Svodka (Özet Tablo)'!J$2,'Ekipman Listesi'!D:D,F9)</f>
        <v>0</v>
      </c>
      <c r="K9" s="27">
        <f t="shared" ref="K9" si="3">SUM(G9:J9)</f>
        <v>3</v>
      </c>
      <c r="L9" s="30"/>
      <c r="M9" s="33" t="s">
        <v>400</v>
      </c>
      <c r="N9" s="27">
        <f>COUNTIFS('Kiralık Ekipman Listesi'!E:E,M9,'Kiralık Ekipman Listesi'!C:C,"Ofis")</f>
        <v>0</v>
      </c>
      <c r="O9" s="27">
        <f>COUNTIFS('Kiralık Ekipman Listesi'!E:E,M9,'Kiralık Ekipman Listesi'!C:C,"DCU")</f>
        <v>12</v>
      </c>
      <c r="P9" s="27">
        <f>COUNTIFS('Kiralık Ekipman Listesi'!E:E,M9,'Kiralık Ekipman Listesi'!C:C,"SRU")</f>
        <v>2</v>
      </c>
      <c r="Q9" s="27">
        <f>COUNTIFS('Kiralık Ekipman Listesi'!E:E,M9,'Kiralık Ekipman Listesi'!C:C,"GARAJ-AMBAR")</f>
        <v>1</v>
      </c>
      <c r="R9" s="27">
        <f t="shared" si="2"/>
        <v>15</v>
      </c>
    </row>
    <row r="10" spans="2:18" s="14" customFormat="1" ht="20.100000000000001" customHeight="1">
      <c r="B10" s="27" t="s">
        <v>125</v>
      </c>
      <c r="C10" s="33" t="s">
        <v>524</v>
      </c>
      <c r="D10" s="30"/>
      <c r="E10" s="27" t="s">
        <v>125</v>
      </c>
      <c r="F10" s="31" t="s">
        <v>397</v>
      </c>
      <c r="G10" s="27">
        <f>COUNTIFS('Ekipman Listesi'!C:C,"Ofis",'Ekipman Listesi'!D:D,F10)</f>
        <v>0</v>
      </c>
      <c r="H10" s="27">
        <f>COUNTIFS('Ekipman Listesi'!C:C,'Svodka (Özet Tablo)'!H$2,'Ekipman Listesi'!D:D,F10)</f>
        <v>2</v>
      </c>
      <c r="I10" s="27">
        <f>COUNTIFS('Ekipman Listesi'!C:C,'Svodka (Özet Tablo)'!I$2,'Ekipman Listesi'!D:D,F10)</f>
        <v>2</v>
      </c>
      <c r="J10" s="27">
        <f>COUNTIFS('Ekipman Listesi'!C:C,'Svodka (Özet Tablo)'!J$2,'Ekipman Listesi'!D:D,F10)</f>
        <v>0</v>
      </c>
      <c r="K10" s="27">
        <f>SUM(G10:J10)</f>
        <v>4</v>
      </c>
      <c r="L10" s="30"/>
      <c r="M10" s="31" t="s">
        <v>397</v>
      </c>
      <c r="N10" s="27">
        <f>COUNTIFS('Kiralık Ekipman Listesi'!E:E,M10,'Kiralık Ekipman Listesi'!C:C,"Ofis")</f>
        <v>0</v>
      </c>
      <c r="O10" s="27">
        <f>COUNTIFS('Kiralık Ekipman Listesi'!E:E,M10,'Kiralık Ekipman Listesi'!C:C,"DCU")</f>
        <v>5</v>
      </c>
      <c r="P10" s="27">
        <f>COUNTIFS('Kiralık Ekipman Listesi'!E:E,M10,'Kiralık Ekipman Listesi'!C:C,"SRU")</f>
        <v>1</v>
      </c>
      <c r="Q10" s="27">
        <f>COUNTIFS('Kiralık Ekipman Listesi'!E:E,M10,'Kiralık Ekipman Listesi'!C:C,"GARAJ-AMBAR")</f>
        <v>0</v>
      </c>
      <c r="R10" s="27">
        <f t="shared" si="2"/>
        <v>6</v>
      </c>
    </row>
    <row r="11" spans="2:18" s="14" customFormat="1" ht="20.100000000000001" customHeight="1">
      <c r="B11" s="27" t="s">
        <v>57</v>
      </c>
      <c r="C11" s="33" t="s">
        <v>29</v>
      </c>
      <c r="D11" s="30"/>
      <c r="E11" s="27" t="s">
        <v>57</v>
      </c>
      <c r="F11" s="31" t="s">
        <v>388</v>
      </c>
      <c r="G11" s="27">
        <f>COUNTIFS('Ekipman Listesi'!C:C,"Ofis",'Ekipman Listesi'!D:D,F11)</f>
        <v>0</v>
      </c>
      <c r="H11" s="27">
        <f>COUNTIFS('Ekipman Listesi'!C:C,'Svodka (Özet Tablo)'!H$2,'Ekipman Listesi'!D:D,F11)</f>
        <v>6</v>
      </c>
      <c r="I11" s="27">
        <f>COUNTIFS('Ekipman Listesi'!C:C,'Svodka (Özet Tablo)'!I$2,'Ekipman Listesi'!D:D,F11)</f>
        <v>5</v>
      </c>
      <c r="J11" s="27">
        <f>COUNTIFS('Ekipman Listesi'!C:C,'Svodka (Özet Tablo)'!J$2,'Ekipman Listesi'!D:D,F11)</f>
        <v>0</v>
      </c>
      <c r="K11" s="27">
        <f t="shared" si="0"/>
        <v>11</v>
      </c>
      <c r="L11" s="30"/>
      <c r="M11" s="31" t="s">
        <v>388</v>
      </c>
      <c r="N11" s="27">
        <f>COUNTIFS('Kiralık Ekipman Listesi'!E:E,M11,'Kiralık Ekipman Listesi'!C:C,"Ofis")</f>
        <v>0</v>
      </c>
      <c r="O11" s="27">
        <f>COUNTIFS('Kiralık Ekipman Listesi'!E:E,M11,'Kiralık Ekipman Listesi'!C:C,"DCU")</f>
        <v>19</v>
      </c>
      <c r="P11" s="27">
        <f>COUNTIFS('Kiralık Ekipman Listesi'!E:E,M11,'Kiralık Ekipman Listesi'!C:C,"SRU")</f>
        <v>1</v>
      </c>
      <c r="Q11" s="27">
        <f>COUNTIFS('Kiralık Ekipman Listesi'!E:E,M11,'Kiralık Ekipman Listesi'!C:C,"GARAJ-AMBAR")</f>
        <v>0</v>
      </c>
      <c r="R11" s="27">
        <f t="shared" si="1"/>
        <v>20</v>
      </c>
    </row>
    <row r="12" spans="2:18" s="14" customFormat="1" ht="20.100000000000001" customHeight="1">
      <c r="B12" s="27" t="s">
        <v>66</v>
      </c>
      <c r="C12" s="33" t="s">
        <v>65</v>
      </c>
      <c r="D12" s="30"/>
      <c r="E12" s="27" t="s">
        <v>66</v>
      </c>
      <c r="F12" s="31" t="s">
        <v>389</v>
      </c>
      <c r="G12" s="27">
        <f>COUNTIFS('Ekipman Listesi'!C:C,"Ofis",'Ekipman Listesi'!D:D,F12)</f>
        <v>0</v>
      </c>
      <c r="H12" s="27">
        <f>COUNTIFS('Ekipman Listesi'!C:C,'Svodka (Özet Tablo)'!H$2,'Ekipman Listesi'!D:D,F12)</f>
        <v>0</v>
      </c>
      <c r="I12" s="27">
        <f>COUNTIFS('Ekipman Listesi'!C:C,'Svodka (Özet Tablo)'!I$2,'Ekipman Listesi'!D:D,F12)</f>
        <v>1</v>
      </c>
      <c r="J12" s="27">
        <f>COUNTIFS('Ekipman Listesi'!C:C,'Svodka (Özet Tablo)'!J$2,'Ekipman Listesi'!D:D,F12)</f>
        <v>0</v>
      </c>
      <c r="K12" s="27">
        <f t="shared" si="0"/>
        <v>1</v>
      </c>
      <c r="L12" s="30"/>
      <c r="M12" s="31" t="s">
        <v>389</v>
      </c>
      <c r="N12" s="27">
        <f>COUNTIFS('Kiralık Ekipman Listesi'!E:E,M12,'Kiralık Ekipman Listesi'!C:C,"Ofis")</f>
        <v>0</v>
      </c>
      <c r="O12" s="27">
        <f>COUNTIFS('Kiralık Ekipman Listesi'!E:E,M12,'Kiralık Ekipman Listesi'!C:C,"DCU")</f>
        <v>0</v>
      </c>
      <c r="P12" s="27">
        <f>COUNTIFS('Kiralık Ekipman Listesi'!E:E,M12,'Kiralık Ekipman Listesi'!C:C,"SRU")</f>
        <v>0</v>
      </c>
      <c r="Q12" s="27">
        <f>COUNTIFS('Kiralık Ekipman Listesi'!E:E,M12,'Kiralık Ekipman Listesi'!C:C,"GARAJ-AMBAR")</f>
        <v>0</v>
      </c>
      <c r="R12" s="27">
        <f t="shared" si="1"/>
        <v>0</v>
      </c>
    </row>
    <row r="13" spans="2:18" s="14" customFormat="1" ht="20.100000000000001" customHeight="1">
      <c r="B13" s="27" t="s">
        <v>58</v>
      </c>
      <c r="C13" s="33" t="s">
        <v>169</v>
      </c>
      <c r="D13" s="30"/>
      <c r="E13" s="27" t="s">
        <v>58</v>
      </c>
      <c r="F13" s="31" t="s">
        <v>390</v>
      </c>
      <c r="G13" s="27">
        <f>COUNTIFS('Ekipman Listesi'!C:C,"Ofis",'Ekipman Listesi'!D:D,F13)</f>
        <v>0</v>
      </c>
      <c r="H13" s="27">
        <f>COUNTIFS('Ekipman Listesi'!C:C,'Svodka (Özet Tablo)'!H$2,'Ekipman Listesi'!D:D,F13)</f>
        <v>1</v>
      </c>
      <c r="I13" s="27">
        <f>COUNTIFS('Ekipman Listesi'!C:C,'Svodka (Özet Tablo)'!I$2,'Ekipman Listesi'!D:D,F13)</f>
        <v>1</v>
      </c>
      <c r="J13" s="27">
        <f>COUNTIFS('Ekipman Listesi'!C:C,'Svodka (Özet Tablo)'!J$2,'Ekipman Listesi'!D:D,F13)</f>
        <v>0</v>
      </c>
      <c r="K13" s="27">
        <f t="shared" si="0"/>
        <v>2</v>
      </c>
      <c r="L13" s="30"/>
      <c r="M13" s="20" t="s">
        <v>390</v>
      </c>
      <c r="N13" s="27">
        <f>COUNTIFS('Kiralık Ekipman Listesi'!E:E,M13,'Kiralık Ekipman Listesi'!C:C,"Ofis")</f>
        <v>0</v>
      </c>
      <c r="O13" s="27">
        <f>COUNTIFS('Kiralık Ekipman Listesi'!E:E,M13,'Kiralık Ekipman Listesi'!C:C,"DCU")</f>
        <v>0</v>
      </c>
      <c r="P13" s="27">
        <f>COUNTIFS('Kiralık Ekipman Listesi'!E:E,M13,'Kiralık Ekipman Listesi'!C:C,"SRU")</f>
        <v>1</v>
      </c>
      <c r="Q13" s="27">
        <f>COUNTIFS('Kiralık Ekipman Listesi'!E:E,M13,'Kiralık Ekipman Listesi'!C:C,"GARAJ-AMBAR")</f>
        <v>0</v>
      </c>
      <c r="R13" s="27">
        <f t="shared" si="1"/>
        <v>1</v>
      </c>
    </row>
    <row r="14" spans="2:18" s="14" customFormat="1" ht="20.100000000000001" customHeight="1">
      <c r="B14" s="27" t="s">
        <v>391</v>
      </c>
      <c r="C14" s="33" t="s">
        <v>108</v>
      </c>
      <c r="D14" s="30"/>
      <c r="E14" s="27" t="s">
        <v>391</v>
      </c>
      <c r="F14" s="31" t="s">
        <v>392</v>
      </c>
      <c r="G14" s="27">
        <f>COUNTIFS('Ekipman Listesi'!C:C,"Ofis",'Ekipman Listesi'!D:D,F14)</f>
        <v>0</v>
      </c>
      <c r="H14" s="27">
        <f>COUNTIFS('Ekipman Listesi'!C:C,'Svodka (Özet Tablo)'!H$2,'Ekipman Listesi'!D:D,F14)</f>
        <v>1</v>
      </c>
      <c r="I14" s="27">
        <f>COUNTIFS('Ekipman Listesi'!C:C,'Svodka (Özet Tablo)'!I$2,'Ekipman Listesi'!D:D,F14)</f>
        <v>0</v>
      </c>
      <c r="J14" s="27">
        <f>COUNTIFS('Ekipman Listesi'!C:C,'Svodka (Özet Tablo)'!J$2,'Ekipman Listesi'!D:D,F14)</f>
        <v>1</v>
      </c>
      <c r="K14" s="27">
        <f t="shared" si="0"/>
        <v>2</v>
      </c>
      <c r="L14" s="30"/>
      <c r="M14" s="20" t="s">
        <v>392</v>
      </c>
      <c r="N14" s="27">
        <f>COUNTIFS('Kiralık Ekipman Listesi'!E:E,M14,'Kiralık Ekipman Listesi'!C:C,"Ofis")</f>
        <v>0</v>
      </c>
      <c r="O14" s="27">
        <f>COUNTIFS('Kiralık Ekipman Listesi'!E:E,M14,'Kiralık Ekipman Listesi'!C:C,"DCU")</f>
        <v>0</v>
      </c>
      <c r="P14" s="27">
        <f>COUNTIFS('Kiralık Ekipman Listesi'!E:E,M14,'Kiralık Ekipman Listesi'!C:C,"SRU")</f>
        <v>0</v>
      </c>
      <c r="Q14" s="27">
        <f>COUNTIFS('Kiralık Ekipman Listesi'!E:E,M14,'Kiralık Ekipman Listesi'!C:C,"GARAJ-AMBAR")</f>
        <v>0</v>
      </c>
      <c r="R14" s="27">
        <f t="shared" si="1"/>
        <v>0</v>
      </c>
    </row>
    <row r="15" spans="2:18" s="14" customFormat="1" ht="20.100000000000001" customHeight="1">
      <c r="B15" s="28" t="s">
        <v>459</v>
      </c>
      <c r="C15" s="20" t="s">
        <v>418</v>
      </c>
      <c r="D15" s="30"/>
      <c r="E15" s="27" t="s">
        <v>459</v>
      </c>
      <c r="F15" s="31" t="s">
        <v>460</v>
      </c>
      <c r="G15" s="27">
        <f>COUNTIFS('Ekipman Listesi'!C:C,"Ofis",'Ekipman Listesi'!D:D,F15)</f>
        <v>0</v>
      </c>
      <c r="H15" s="27">
        <f>COUNTIFS('Ekipman Listesi'!C:C,'Svodka (Özet Tablo)'!H$2,'Ekipman Listesi'!D:D,F15)</f>
        <v>5</v>
      </c>
      <c r="I15" s="27">
        <f>COUNTIFS('Ekipman Listesi'!C:C,'Svodka (Özet Tablo)'!I$2,'Ekipman Listesi'!D:D,F15)</f>
        <v>9</v>
      </c>
      <c r="J15" s="27">
        <f>COUNTIFS('Ekipman Listesi'!C:C,'Svodka (Özet Tablo)'!J$2,'Ekipman Listesi'!D:D,F15)</f>
        <v>0</v>
      </c>
      <c r="K15" s="27">
        <f t="shared" si="0"/>
        <v>14</v>
      </c>
      <c r="L15" s="30"/>
      <c r="M15" s="31" t="s">
        <v>462</v>
      </c>
      <c r="N15" s="27">
        <f>COUNTIFS('Kiralık Ekipman Listesi'!E:E,M15,'Kiralık Ekipman Listesi'!C:C,"Ofis")</f>
        <v>0</v>
      </c>
      <c r="O15" s="27">
        <f>COUNTIFS('Kiralık Ekipman Listesi'!E:E,M15,'Kiralık Ekipman Listesi'!C:C,"DCU")</f>
        <v>0</v>
      </c>
      <c r="P15" s="27">
        <f>COUNTIFS('Kiralık Ekipman Listesi'!E:E,M15,'Kiralık Ekipman Listesi'!C:C,"SRU")</f>
        <v>0</v>
      </c>
      <c r="Q15" s="27">
        <f>COUNTIFS('Kiralık Ekipman Listesi'!E:E,M15,'Kiralık Ekipman Listesi'!C:C,"GARAJ-AMBAR")</f>
        <v>0</v>
      </c>
      <c r="R15" s="27">
        <f t="shared" ref="R15:R21" si="4">SUM(N15:Q15)</f>
        <v>0</v>
      </c>
    </row>
    <row r="16" spans="2:18" s="14" customFormat="1" ht="20.100000000000001" customHeight="1">
      <c r="B16" s="28" t="s">
        <v>461</v>
      </c>
      <c r="C16" s="20" t="s">
        <v>463</v>
      </c>
      <c r="D16" s="34"/>
      <c r="E16" s="27" t="s">
        <v>461</v>
      </c>
      <c r="F16" s="31" t="s">
        <v>462</v>
      </c>
      <c r="G16" s="27">
        <f>COUNTIFS('Ekipman Listesi'!C:C,"Ofis",'Ekipman Listesi'!D:D,F16)</f>
        <v>0</v>
      </c>
      <c r="H16" s="27">
        <f>COUNTIFS('Ekipman Listesi'!C:C,'Svodka (Özet Tablo)'!H$2,'Ekipman Listesi'!D:D,F16)</f>
        <v>1</v>
      </c>
      <c r="I16" s="27">
        <f>COUNTIFS('Ekipman Listesi'!C:C,'Svodka (Özet Tablo)'!I$2,'Ekipman Listesi'!D:D,F16)</f>
        <v>0</v>
      </c>
      <c r="J16" s="27">
        <f>COUNTIFS('Ekipman Listesi'!C:C,'Svodka (Özet Tablo)'!J$2,'Ekipman Listesi'!D:D,F16)</f>
        <v>2</v>
      </c>
      <c r="K16" s="27">
        <f t="shared" si="0"/>
        <v>3</v>
      </c>
      <c r="L16" s="30"/>
      <c r="M16" s="31" t="s">
        <v>684</v>
      </c>
      <c r="N16" s="27">
        <f>COUNTIFS('Kiralık Ekipman Listesi'!E:E,M16,'Kiralık Ekipman Listesi'!C:C,"Ofis")</f>
        <v>0</v>
      </c>
      <c r="O16" s="27">
        <f>COUNTIFS('Kiralık Ekipman Listesi'!E:E,M16,'Kiralık Ekipman Listesi'!C:C,"DCU")</f>
        <v>1</v>
      </c>
      <c r="P16" s="27">
        <f>COUNTIFS('Kiralık Ekipman Listesi'!E:E,M16,'Kiralık Ekipman Listesi'!C:C,"SRU")</f>
        <v>0</v>
      </c>
      <c r="Q16" s="27">
        <f>COUNTIFS('Kiralık Ekipman Listesi'!E:E,M16,'Kiralık Ekipman Listesi'!C:C,"GARAJ-AMBAR")</f>
        <v>0</v>
      </c>
      <c r="R16" s="27">
        <f t="shared" si="4"/>
        <v>1</v>
      </c>
    </row>
    <row r="17" spans="2:18" s="14" customFormat="1" ht="20.100000000000001" customHeight="1">
      <c r="B17" s="27" t="s">
        <v>87</v>
      </c>
      <c r="C17" s="33" t="s">
        <v>86</v>
      </c>
      <c r="D17" s="30"/>
      <c r="E17" s="27" t="s">
        <v>87</v>
      </c>
      <c r="F17" s="31" t="s">
        <v>394</v>
      </c>
      <c r="G17" s="27">
        <f>COUNTIFS('Ekipman Listesi'!C:C,"Ofis",'Ekipman Listesi'!D:D,F17)</f>
        <v>0</v>
      </c>
      <c r="H17" s="27">
        <f>COUNTIFS('Ekipman Listesi'!C:C,'Svodka (Özet Tablo)'!H$2,'Ekipman Listesi'!D:D,F17)</f>
        <v>1</v>
      </c>
      <c r="I17" s="27">
        <f>COUNTIFS('Ekipman Listesi'!C:C,'Svodka (Özet Tablo)'!I$2,'Ekipman Listesi'!D:D,F17)</f>
        <v>1</v>
      </c>
      <c r="J17" s="27">
        <f>COUNTIFS('Ekipman Listesi'!C:C,'Svodka (Özet Tablo)'!J$2,'Ekipman Listesi'!D:D,F17)</f>
        <v>0</v>
      </c>
      <c r="K17" s="27">
        <f t="shared" si="0"/>
        <v>2</v>
      </c>
      <c r="L17" s="30"/>
      <c r="M17" s="31" t="s">
        <v>686</v>
      </c>
      <c r="N17" s="27">
        <f>COUNTIFS('Kiralık Ekipman Listesi'!E:E,M17,'Kiralık Ekipman Listesi'!C:C,"Ofis")</f>
        <v>0</v>
      </c>
      <c r="O17" s="27">
        <f>COUNTIFS('Kiralık Ekipman Listesi'!E:E,M17,'Kiralık Ekipman Listesi'!C:C,"DCU")</f>
        <v>1</v>
      </c>
      <c r="P17" s="27">
        <f>COUNTIFS('Kiralık Ekipman Listesi'!E:E,M17,'Kiralık Ekipman Listesi'!C:C,"SRU")</f>
        <v>0</v>
      </c>
      <c r="Q17" s="27">
        <f>COUNTIFS('Kiralık Ekipman Listesi'!E:E,M17,'Kiralık Ekipman Listesi'!C:C,"GARAJ-AMBAR")</f>
        <v>0</v>
      </c>
      <c r="R17" s="27">
        <f t="shared" si="4"/>
        <v>1</v>
      </c>
    </row>
    <row r="18" spans="2:18" s="14" customFormat="1" ht="20.100000000000001" customHeight="1">
      <c r="B18" s="27" t="s">
        <v>485</v>
      </c>
      <c r="C18" s="33" t="s">
        <v>481</v>
      </c>
      <c r="D18" s="30"/>
      <c r="E18" s="27" t="s">
        <v>485</v>
      </c>
      <c r="F18" s="31" t="s">
        <v>486</v>
      </c>
      <c r="G18" s="27">
        <f>COUNTIFS('Ekipman Listesi'!C:C,"Ofis",'Ekipman Listesi'!D:D,F18)</f>
        <v>0</v>
      </c>
      <c r="H18" s="27">
        <f>COUNTIFS('Ekipman Listesi'!C:C,'Svodka (Özet Tablo)'!H$2,'Ekipman Listesi'!D:D,F18)</f>
        <v>0</v>
      </c>
      <c r="I18" s="27">
        <f>COUNTIFS('Ekipman Listesi'!C:C,'Svodka (Özet Tablo)'!I$2,'Ekipman Listesi'!D:D,F18)</f>
        <v>1</v>
      </c>
      <c r="J18" s="27">
        <f>COUNTIFS('Ekipman Listesi'!C:C,'Svodka (Özet Tablo)'!J$2,'Ekipman Listesi'!D:D,F18)</f>
        <v>0</v>
      </c>
      <c r="K18" s="27">
        <f t="shared" ref="K18:K23" si="5">SUM(G18:J18)</f>
        <v>1</v>
      </c>
      <c r="L18" s="30"/>
      <c r="M18" s="31" t="s">
        <v>679</v>
      </c>
      <c r="N18" s="27">
        <f>COUNTIFS('Kiralık Ekipman Listesi'!E:E,M18,'Kiralık Ekipman Listesi'!C:C,"Ofis")</f>
        <v>0</v>
      </c>
      <c r="O18" s="27">
        <f>COUNTIFS('Kiralık Ekipman Listesi'!E:E,M18,'Kiralık Ekipman Listesi'!C:C,"DCU")</f>
        <v>1</v>
      </c>
      <c r="P18" s="27">
        <f>COUNTIFS('Kiralık Ekipman Listesi'!E:E,M18,'Kiralık Ekipman Listesi'!C:C,"SRU")</f>
        <v>0</v>
      </c>
      <c r="Q18" s="27">
        <f>COUNTIFS('Kiralık Ekipman Listesi'!E:E,M18,'Kiralık Ekipman Listesi'!C:C,"GARAJ-AMBAR")</f>
        <v>0</v>
      </c>
      <c r="R18" s="27">
        <f t="shared" si="4"/>
        <v>1</v>
      </c>
    </row>
    <row r="19" spans="2:18" s="14" customFormat="1" ht="20.100000000000001" customHeight="1">
      <c r="B19" s="27" t="s">
        <v>126</v>
      </c>
      <c r="C19" s="33" t="s">
        <v>523</v>
      </c>
      <c r="D19" s="30"/>
      <c r="E19" s="27" t="s">
        <v>126</v>
      </c>
      <c r="F19" s="31" t="s">
        <v>395</v>
      </c>
      <c r="G19" s="27">
        <f>COUNTIFS('Ekipman Listesi'!C:C,"Ofis",'Ekipman Listesi'!D:D,F19)</f>
        <v>0</v>
      </c>
      <c r="H19" s="27">
        <f>COUNTIFS('Ekipman Listesi'!C:C,'Svodka (Özet Tablo)'!H$2,'Ekipman Listesi'!D:D,F19)</f>
        <v>2</v>
      </c>
      <c r="I19" s="27">
        <f>COUNTIFS('Ekipman Listesi'!C:C,'Svodka (Özet Tablo)'!I$2,'Ekipman Listesi'!D:D,F19)</f>
        <v>2</v>
      </c>
      <c r="J19" s="27">
        <f>COUNTIFS('Ekipman Listesi'!C:C,'Svodka (Özet Tablo)'!J$2,'Ekipman Listesi'!D:D,F19)</f>
        <v>0</v>
      </c>
      <c r="K19" s="27">
        <f t="shared" si="5"/>
        <v>4</v>
      </c>
      <c r="L19" s="30"/>
      <c r="M19" s="31" t="s">
        <v>678</v>
      </c>
      <c r="N19" s="27">
        <f>COUNTIFS('Kiralık Ekipman Listesi'!E:E,M19,'Kiralık Ekipman Listesi'!C:C,"Ofis")</f>
        <v>0</v>
      </c>
      <c r="O19" s="27">
        <f>COUNTIFS('Kiralık Ekipman Listesi'!E:E,M19,'Kiralık Ekipman Listesi'!C:C,"DCU")</f>
        <v>2</v>
      </c>
      <c r="P19" s="27">
        <f>COUNTIFS('Kiralık Ekipman Listesi'!E:E,M19,'Kiralık Ekipman Listesi'!C:C,"SRU")</f>
        <v>0</v>
      </c>
      <c r="Q19" s="27">
        <f>COUNTIFS('Kiralık Ekipman Listesi'!E:E,M19,'Kiralık Ekipman Listesi'!C:C,"GARAJ-AMBAR")</f>
        <v>0</v>
      </c>
      <c r="R19" s="27">
        <f t="shared" si="4"/>
        <v>2</v>
      </c>
    </row>
    <row r="20" spans="2:18" s="14" customFormat="1" ht="20.100000000000001" customHeight="1">
      <c r="B20" s="27" t="s">
        <v>99</v>
      </c>
      <c r="C20" s="33" t="s">
        <v>100</v>
      </c>
      <c r="D20" s="30"/>
      <c r="E20" s="27" t="s">
        <v>99</v>
      </c>
      <c r="F20" s="31" t="s">
        <v>396</v>
      </c>
      <c r="G20" s="27">
        <f>COUNTIFS('Ekipman Listesi'!C:C,"Ofis",'Ekipman Listesi'!D:D,F20)</f>
        <v>0</v>
      </c>
      <c r="H20" s="27">
        <f>COUNTIFS('Ekipman Listesi'!C:C,'Svodka (Özet Tablo)'!H$2,'Ekipman Listesi'!D:D,F20)</f>
        <v>0</v>
      </c>
      <c r="I20" s="27">
        <f>COUNTIFS('Ekipman Listesi'!C:C,'Svodka (Özet Tablo)'!I$2,'Ekipman Listesi'!D:D,F20)</f>
        <v>1</v>
      </c>
      <c r="J20" s="27">
        <f>COUNTIFS('Ekipman Listesi'!C:C,'Svodka (Özet Tablo)'!J$2,'Ekipman Listesi'!D:D,F20)</f>
        <v>0</v>
      </c>
      <c r="K20" s="27">
        <f t="shared" si="5"/>
        <v>1</v>
      </c>
      <c r="L20" s="30"/>
      <c r="M20" s="31" t="s">
        <v>682</v>
      </c>
      <c r="N20" s="27">
        <f>COUNTIFS('Kiralık Ekipman Listesi'!E:E,M20,'Kiralık Ekipman Listesi'!C:C,"Ofis")</f>
        <v>0</v>
      </c>
      <c r="O20" s="27">
        <f>COUNTIFS('Kiralık Ekipman Listesi'!E:E,M20,'Kiralık Ekipman Listesi'!C:C,"DCU")</f>
        <v>1</v>
      </c>
      <c r="P20" s="27">
        <f>COUNTIFS('Kiralık Ekipman Listesi'!E:E,M20,'Kiralık Ekipman Listesi'!C:C,"SRU")</f>
        <v>1</v>
      </c>
      <c r="Q20" s="27">
        <f>COUNTIFS('Kiralık Ekipman Listesi'!E:E,M20,'Kiralık Ekipman Listesi'!C:C,"GARAJ-AMBAR")</f>
        <v>0</v>
      </c>
      <c r="R20" s="27">
        <f t="shared" si="4"/>
        <v>2</v>
      </c>
    </row>
    <row r="21" spans="2:18" s="14" customFormat="1" ht="20.100000000000001" customHeight="1">
      <c r="B21" s="27" t="s">
        <v>168</v>
      </c>
      <c r="C21" s="33" t="s">
        <v>162</v>
      </c>
      <c r="D21" s="30"/>
      <c r="E21" s="27" t="s">
        <v>168</v>
      </c>
      <c r="F21" s="31" t="s">
        <v>398</v>
      </c>
      <c r="G21" s="27">
        <f>COUNTIFS('Ekipman Listesi'!C:C,"Ofis",'Ekipman Listesi'!D:D,F21)</f>
        <v>0</v>
      </c>
      <c r="H21" s="27">
        <f>COUNTIFS('Ekipman Listesi'!C:C,'Svodka (Özet Tablo)'!H$2,'Ekipman Listesi'!D:D,F21)</f>
        <v>1</v>
      </c>
      <c r="I21" s="27">
        <f>COUNTIFS('Ekipman Listesi'!C:C,'Svodka (Özet Tablo)'!I$2,'Ekipman Listesi'!D:D,F21)</f>
        <v>0</v>
      </c>
      <c r="J21" s="27">
        <f>COUNTIFS('Ekipman Listesi'!C:C,'Svodka (Özet Tablo)'!J$2,'Ekipman Listesi'!D:D,F21)</f>
        <v>0</v>
      </c>
      <c r="K21" s="27">
        <f t="shared" si="5"/>
        <v>1</v>
      </c>
      <c r="L21" s="30"/>
      <c r="M21" s="31" t="s">
        <v>681</v>
      </c>
      <c r="N21" s="27">
        <f>COUNTIFS('Kiralık Ekipman Listesi'!E:E,M21,'Kiralık Ekipman Listesi'!C:C,"Ofis")</f>
        <v>0</v>
      </c>
      <c r="O21" s="27">
        <f>COUNTIFS('Kiralık Ekipman Listesi'!E:E,M21,'Kiralık Ekipman Listesi'!C:C,"DCU")</f>
        <v>1</v>
      </c>
      <c r="P21" s="27">
        <f>COUNTIFS('Kiralık Ekipman Listesi'!E:E,M21,'Kiralık Ekipman Listesi'!C:C,"SRU")</f>
        <v>1</v>
      </c>
      <c r="Q21" s="27">
        <f>COUNTIFS('Kiralık Ekipman Listesi'!E:E,M21,'Kiralık Ekipman Listesi'!C:C,"GARAJ-AMBAR")</f>
        <v>0</v>
      </c>
      <c r="R21" s="27">
        <f t="shared" si="4"/>
        <v>2</v>
      </c>
    </row>
    <row r="22" spans="2:18" s="14" customFormat="1" ht="20.100000000000001" customHeight="1">
      <c r="B22" s="28" t="s">
        <v>457</v>
      </c>
      <c r="C22" s="20" t="s">
        <v>416</v>
      </c>
      <c r="D22" s="30"/>
      <c r="E22" s="27" t="s">
        <v>457</v>
      </c>
      <c r="F22" s="31" t="s">
        <v>458</v>
      </c>
      <c r="G22" s="27">
        <f>COUNTIFS('Ekipman Listesi'!C:C,"Ofis",'Ekipman Listesi'!D:D,F22)</f>
        <v>0</v>
      </c>
      <c r="H22" s="27">
        <f>COUNTIFS('Ekipman Listesi'!C:C,'Svodka (Özet Tablo)'!H$2,'Ekipman Listesi'!D:D,F22)</f>
        <v>11</v>
      </c>
      <c r="I22" s="27">
        <f>COUNTIFS('Ekipman Listesi'!C:C,'Svodka (Özet Tablo)'!I$2,'Ekipman Listesi'!D:D,F22)</f>
        <v>6</v>
      </c>
      <c r="J22" s="27">
        <f>COUNTIFS('Ekipman Listesi'!C:C,'Svodka (Özet Tablo)'!J$2,'Ekipman Listesi'!D:D,F22)</f>
        <v>0</v>
      </c>
      <c r="K22" s="27">
        <f t="shared" si="5"/>
        <v>17</v>
      </c>
      <c r="L22" s="30"/>
      <c r="M22" s="20" t="s">
        <v>458</v>
      </c>
      <c r="N22" s="27">
        <f>COUNTIFS('Kiralık Ekipman Listesi'!E:E,M22,'Kiralık Ekipman Listesi'!C:C,"Ofis")</f>
        <v>0</v>
      </c>
      <c r="O22" s="27">
        <f>COUNTIFS('Kiralık Ekipman Listesi'!E:E,M22,'Kiralık Ekipman Listesi'!C:C,"DCU")</f>
        <v>0</v>
      </c>
      <c r="P22" s="27">
        <f>COUNTIFS('Kiralık Ekipman Listesi'!E:E,M22,'Kiralık Ekipman Listesi'!C:C,"SRU")</f>
        <v>0</v>
      </c>
      <c r="Q22" s="27">
        <f>COUNTIFS('Kiralık Ekipman Listesi'!E:E,M22,'Kiralık Ekipman Listesi'!C:C,"GARAJ-AMBAR")</f>
        <v>0</v>
      </c>
      <c r="R22" s="27">
        <f>SUM(N22:Q22)</f>
        <v>0</v>
      </c>
    </row>
    <row r="23" spans="2:18" s="30" customFormat="1" ht="15.75">
      <c r="E23" s="110" t="s">
        <v>700</v>
      </c>
      <c r="F23" s="111"/>
      <c r="G23" s="51">
        <f>SUM(G3:G22)</f>
        <v>26</v>
      </c>
      <c r="H23" s="51">
        <f t="shared" ref="H23:J23" si="6">SUM(H3:H22)</f>
        <v>33</v>
      </c>
      <c r="I23" s="51">
        <f t="shared" si="6"/>
        <v>34</v>
      </c>
      <c r="J23" s="51">
        <f t="shared" si="6"/>
        <v>3</v>
      </c>
      <c r="K23" s="51">
        <f t="shared" si="5"/>
        <v>96</v>
      </c>
      <c r="M23" s="53" t="s">
        <v>700</v>
      </c>
      <c r="N23" s="51">
        <f t="shared" ref="N23:Q23" si="7">SUM(N3:N22)</f>
        <v>29</v>
      </c>
      <c r="O23" s="51">
        <f t="shared" si="7"/>
        <v>45</v>
      </c>
      <c r="P23" s="51">
        <f t="shared" si="7"/>
        <v>7</v>
      </c>
      <c r="Q23" s="51">
        <f t="shared" si="7"/>
        <v>1</v>
      </c>
      <c r="R23" s="51">
        <f>SUM(R3:R22)</f>
        <v>82</v>
      </c>
    </row>
  </sheetData>
  <mergeCells count="1">
    <mergeCell ref="E23:F23"/>
  </mergeCells>
  <conditionalFormatting sqref="G3:K22 N3:R22">
    <cfRule type="cellIs" dxfId="79" priority="8" operator="equal">
      <formula>0</formula>
    </cfRule>
  </conditionalFormatting>
  <conditionalFormatting sqref="F1 E2 F3:F1048576 G2:K2">
    <cfRule type="duplicateValues" dxfId="78" priority="4"/>
  </conditionalFormatting>
  <conditionalFormatting sqref="M1 M3:M1048576">
    <cfRule type="duplicateValues" dxfId="77" priority="2"/>
  </conditionalFormatting>
  <conditionalFormatting sqref="M88:M1048576 M3:M38">
    <cfRule type="duplicateValues" dxfId="76" priority="83"/>
  </conditionalFormatting>
  <conditionalFormatting sqref="M3:M7 M10:M22">
    <cfRule type="duplicateValues" dxfId="75" priority="86"/>
  </conditionalFormatting>
  <conditionalFormatting sqref="N2:R2">
    <cfRule type="duplicateValues" dxfId="74" priority="1"/>
  </conditionalFormatting>
  <pageMargins left="0.31" right="0.17" top="1.18" bottom="0.75" header="0.3" footer="0.3"/>
  <pageSetup paperSize="8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51D2-0AF8-44AA-9934-9620DE8B9998}">
  <sheetPr codeName="Лист2"/>
  <dimension ref="A1:S100"/>
  <sheetViews>
    <sheetView showGridLines="0" tabSelected="1" zoomScale="68" zoomScaleNormal="68" workbookViewId="0">
      <pane ySplit="3" topLeftCell="A44" activePane="bottomLeft" state="frozen"/>
      <selection pane="bottomLeft" activeCell="G46" sqref="G46"/>
    </sheetView>
  </sheetViews>
  <sheetFormatPr defaultColWidth="9.1328125" defaultRowHeight="14.25"/>
  <cols>
    <col min="1" max="1" width="6.1328125" style="14" customWidth="1"/>
    <col min="2" max="2" width="15.6640625" bestFit="1" customWidth="1"/>
    <col min="3" max="3" width="15" style="14" customWidth="1"/>
    <col min="4" max="4" width="34.33203125" style="14" customWidth="1"/>
    <col min="5" max="5" width="33.33203125" style="14" customWidth="1"/>
    <col min="6" max="6" width="33.46484375" style="14" customWidth="1"/>
    <col min="7" max="7" width="28.33203125" style="14" customWidth="1"/>
    <col min="8" max="8" width="27" style="14" bestFit="1" customWidth="1"/>
    <col min="9" max="9" width="26.1328125" style="14" customWidth="1"/>
    <col min="10" max="10" width="25.53125" style="14" customWidth="1"/>
    <col min="11" max="11" width="19.86328125" style="14" customWidth="1"/>
    <col min="12" max="12" width="34.46484375" style="14" bestFit="1" customWidth="1"/>
    <col min="13" max="13" width="33.53125" style="14" customWidth="1"/>
    <col min="14" max="14" width="32.46484375" style="14" customWidth="1"/>
    <col min="15" max="15" width="31.1328125" style="14" customWidth="1"/>
    <col min="16" max="16" width="22.46484375" style="14" customWidth="1"/>
    <col min="17" max="17" width="34.86328125" style="14" customWidth="1"/>
    <col min="18" max="18" width="27.46484375" style="14" bestFit="1" customWidth="1"/>
    <col min="19" max="19" width="30.1328125" style="14" customWidth="1"/>
    <col min="20" max="20" width="22" style="14" customWidth="1"/>
    <col min="21" max="16384" width="9.1328125" style="14"/>
  </cols>
  <sheetData>
    <row r="1" spans="1:19" ht="85.5" customHeight="1" thickBot="1">
      <c r="A1" s="46"/>
      <c r="B1" s="14"/>
      <c r="F1" s="17" t="s">
        <v>836</v>
      </c>
    </row>
    <row r="2" spans="1:19" s="89" customFormat="1" ht="34.5" customHeight="1" thickBot="1">
      <c r="A2" s="88" t="s">
        <v>0</v>
      </c>
      <c r="B2" s="88" t="s">
        <v>827</v>
      </c>
      <c r="C2" s="88" t="s">
        <v>701</v>
      </c>
      <c r="D2" s="88" t="s">
        <v>828</v>
      </c>
      <c r="E2" s="88" t="s">
        <v>829</v>
      </c>
      <c r="F2" s="88" t="s">
        <v>830</v>
      </c>
      <c r="G2" s="88" t="s">
        <v>706</v>
      </c>
      <c r="H2" s="88" t="s">
        <v>4</v>
      </c>
      <c r="I2" s="88" t="s">
        <v>707</v>
      </c>
      <c r="J2" s="88" t="s">
        <v>831</v>
      </c>
      <c r="K2" s="88" t="s">
        <v>709</v>
      </c>
      <c r="L2" s="88" t="s">
        <v>710</v>
      </c>
      <c r="M2" s="88" t="s">
        <v>832</v>
      </c>
      <c r="N2" s="88" t="s">
        <v>833</v>
      </c>
      <c r="O2" s="88" t="s">
        <v>713</v>
      </c>
      <c r="P2" s="88" t="s">
        <v>714</v>
      </c>
      <c r="Q2" s="88" t="s">
        <v>715</v>
      </c>
      <c r="R2" s="88" t="s">
        <v>834</v>
      </c>
      <c r="S2" s="88" t="s">
        <v>835</v>
      </c>
    </row>
    <row r="3" spans="1:19" ht="39.75" customHeight="1" thickBot="1">
      <c r="A3" s="88" t="s">
        <v>0</v>
      </c>
      <c r="B3" s="88" t="s">
        <v>1</v>
      </c>
      <c r="C3" s="88" t="s">
        <v>8</v>
      </c>
      <c r="D3" s="88" t="s">
        <v>490</v>
      </c>
      <c r="E3" s="88" t="s">
        <v>491</v>
      </c>
      <c r="F3" s="88" t="s">
        <v>9</v>
      </c>
      <c r="G3" s="88" t="s">
        <v>3</v>
      </c>
      <c r="H3" s="88" t="s">
        <v>4</v>
      </c>
      <c r="I3" s="88" t="s">
        <v>107</v>
      </c>
      <c r="J3" s="88" t="s">
        <v>5</v>
      </c>
      <c r="K3" s="88" t="s">
        <v>6</v>
      </c>
      <c r="L3" s="88" t="s">
        <v>488</v>
      </c>
      <c r="M3" s="88" t="s">
        <v>14</v>
      </c>
      <c r="N3" s="88" t="s">
        <v>493</v>
      </c>
      <c r="O3" s="88" t="s">
        <v>492</v>
      </c>
      <c r="P3" s="88" t="s">
        <v>373</v>
      </c>
      <c r="Q3" s="88" t="s">
        <v>7</v>
      </c>
      <c r="R3" s="88" t="s">
        <v>10</v>
      </c>
      <c r="S3" s="88" t="s">
        <v>495</v>
      </c>
    </row>
    <row r="4" spans="1:19" ht="33" customHeight="1">
      <c r="A4" s="68">
        <f>SUBTOTAL(3,B$4:B4)</f>
        <v>1</v>
      </c>
      <c r="B4" s="106" t="s">
        <v>343</v>
      </c>
      <c r="C4" s="107" t="s">
        <v>489</v>
      </c>
      <c r="D4" s="108" t="s">
        <v>385</v>
      </c>
      <c r="E4" s="71" t="s">
        <v>231</v>
      </c>
      <c r="F4" s="106" t="s">
        <v>268</v>
      </c>
      <c r="G4" s="107" t="s">
        <v>267</v>
      </c>
      <c r="H4" s="69" t="s">
        <v>269</v>
      </c>
      <c r="I4" s="70" t="s">
        <v>270</v>
      </c>
      <c r="J4" s="106">
        <v>2021</v>
      </c>
      <c r="K4" s="72">
        <v>1230</v>
      </c>
      <c r="L4" s="70" t="s">
        <v>283</v>
      </c>
      <c r="M4" s="70" t="s">
        <v>284</v>
      </c>
      <c r="N4" s="70" t="s">
        <v>766</v>
      </c>
      <c r="O4" s="70" t="s">
        <v>285</v>
      </c>
      <c r="P4" s="73" t="s">
        <v>82</v>
      </c>
      <c r="Q4" s="74" t="s">
        <v>694</v>
      </c>
      <c r="R4" s="69" t="s">
        <v>18</v>
      </c>
      <c r="S4" s="75"/>
    </row>
    <row r="5" spans="1:19" ht="33" customHeight="1">
      <c r="A5" s="68">
        <f>SUBTOTAL(3,B$4:B5)</f>
        <v>2</v>
      </c>
      <c r="B5" s="106" t="s">
        <v>344</v>
      </c>
      <c r="C5" s="107" t="s">
        <v>489</v>
      </c>
      <c r="D5" s="108" t="s">
        <v>385</v>
      </c>
      <c r="E5" s="71" t="s">
        <v>231</v>
      </c>
      <c r="F5" s="106" t="s">
        <v>268</v>
      </c>
      <c r="G5" s="107" t="s">
        <v>286</v>
      </c>
      <c r="H5" s="69" t="s">
        <v>287</v>
      </c>
      <c r="I5" s="70" t="s">
        <v>270</v>
      </c>
      <c r="J5" s="106">
        <v>2021</v>
      </c>
      <c r="K5" s="72">
        <v>1230</v>
      </c>
      <c r="L5" s="70" t="s">
        <v>283</v>
      </c>
      <c r="M5" s="70" t="s">
        <v>284</v>
      </c>
      <c r="N5" s="70" t="s">
        <v>766</v>
      </c>
      <c r="O5" s="70" t="s">
        <v>288</v>
      </c>
      <c r="P5" s="73" t="s">
        <v>82</v>
      </c>
      <c r="Q5" s="74" t="s">
        <v>694</v>
      </c>
      <c r="R5" s="69" t="s">
        <v>18</v>
      </c>
      <c r="S5" s="75"/>
    </row>
    <row r="6" spans="1:19" ht="33" customHeight="1">
      <c r="A6" s="68">
        <f>SUBTOTAL(3,B$4:B6)</f>
        <v>3</v>
      </c>
      <c r="B6" s="106" t="s">
        <v>345</v>
      </c>
      <c r="C6" s="107" t="s">
        <v>489</v>
      </c>
      <c r="D6" s="108" t="s">
        <v>385</v>
      </c>
      <c r="E6" s="71" t="s">
        <v>231</v>
      </c>
      <c r="F6" s="106" t="s">
        <v>232</v>
      </c>
      <c r="G6" s="107" t="s">
        <v>233</v>
      </c>
      <c r="H6" s="69" t="s">
        <v>234</v>
      </c>
      <c r="I6" s="70" t="s">
        <v>241</v>
      </c>
      <c r="J6" s="106">
        <v>2020</v>
      </c>
      <c r="K6" s="72">
        <v>1915</v>
      </c>
      <c r="L6" s="70" t="s">
        <v>278</v>
      </c>
      <c r="M6" s="70" t="s">
        <v>235</v>
      </c>
      <c r="N6" s="70" t="s">
        <v>236</v>
      </c>
      <c r="O6" s="70" t="s">
        <v>310</v>
      </c>
      <c r="P6" s="73" t="s">
        <v>82</v>
      </c>
      <c r="Q6" s="74" t="s">
        <v>694</v>
      </c>
      <c r="R6" s="69" t="s">
        <v>18</v>
      </c>
      <c r="S6" s="75"/>
    </row>
    <row r="7" spans="1:19" ht="33" customHeight="1">
      <c r="A7" s="68">
        <f>SUBTOTAL(3,B$4:B7)</f>
        <v>4</v>
      </c>
      <c r="B7" s="106" t="s">
        <v>346</v>
      </c>
      <c r="C7" s="107" t="s">
        <v>489</v>
      </c>
      <c r="D7" s="108" t="s">
        <v>385</v>
      </c>
      <c r="E7" s="71" t="s">
        <v>231</v>
      </c>
      <c r="F7" s="106" t="s">
        <v>232</v>
      </c>
      <c r="G7" s="107" t="s">
        <v>304</v>
      </c>
      <c r="H7" s="69" t="s">
        <v>305</v>
      </c>
      <c r="I7" s="70" t="s">
        <v>241</v>
      </c>
      <c r="J7" s="106">
        <v>2021</v>
      </c>
      <c r="K7" s="72">
        <v>1915</v>
      </c>
      <c r="L7" s="70" t="s">
        <v>278</v>
      </c>
      <c r="M7" s="70" t="s">
        <v>235</v>
      </c>
      <c r="N7" s="70" t="s">
        <v>236</v>
      </c>
      <c r="O7" s="70" t="s">
        <v>308</v>
      </c>
      <c r="P7" s="73" t="s">
        <v>82</v>
      </c>
      <c r="Q7" s="74" t="s">
        <v>694</v>
      </c>
      <c r="R7" s="69" t="s">
        <v>18</v>
      </c>
      <c r="S7" s="75"/>
    </row>
    <row r="8" spans="1:19" ht="33" customHeight="1">
      <c r="A8" s="68">
        <f>SUBTOTAL(3,B$4:B8)</f>
        <v>5</v>
      </c>
      <c r="B8" s="106" t="s">
        <v>347</v>
      </c>
      <c r="C8" s="107" t="s">
        <v>489</v>
      </c>
      <c r="D8" s="108" t="s">
        <v>385</v>
      </c>
      <c r="E8" s="71" t="s">
        <v>231</v>
      </c>
      <c r="F8" s="106" t="s">
        <v>232</v>
      </c>
      <c r="G8" s="107" t="s">
        <v>306</v>
      </c>
      <c r="H8" s="69" t="s">
        <v>307</v>
      </c>
      <c r="I8" s="70" t="s">
        <v>241</v>
      </c>
      <c r="J8" s="106">
        <v>2019</v>
      </c>
      <c r="K8" s="72">
        <v>1930</v>
      </c>
      <c r="L8" s="70" t="s">
        <v>278</v>
      </c>
      <c r="M8" s="70" t="s">
        <v>235</v>
      </c>
      <c r="N8" s="70" t="s">
        <v>236</v>
      </c>
      <c r="O8" s="70" t="s">
        <v>309</v>
      </c>
      <c r="P8" s="73" t="s">
        <v>82</v>
      </c>
      <c r="Q8" s="74" t="s">
        <v>694</v>
      </c>
      <c r="R8" s="69" t="s">
        <v>18</v>
      </c>
      <c r="S8" s="75"/>
    </row>
    <row r="9" spans="1:19" ht="33" customHeight="1">
      <c r="A9" s="68">
        <f>SUBTOTAL(3,B$4:B9)</f>
        <v>6</v>
      </c>
      <c r="B9" s="106" t="s">
        <v>348</v>
      </c>
      <c r="C9" s="107" t="s">
        <v>489</v>
      </c>
      <c r="D9" s="108" t="s">
        <v>385</v>
      </c>
      <c r="E9" s="71" t="s">
        <v>231</v>
      </c>
      <c r="F9" s="106" t="s">
        <v>238</v>
      </c>
      <c r="G9" s="107" t="s">
        <v>237</v>
      </c>
      <c r="H9" s="69" t="s">
        <v>239</v>
      </c>
      <c r="I9" s="70" t="s">
        <v>240</v>
      </c>
      <c r="J9" s="106">
        <v>2020</v>
      </c>
      <c r="K9" s="72">
        <v>2265</v>
      </c>
      <c r="L9" s="70" t="s">
        <v>279</v>
      </c>
      <c r="M9" s="70" t="s">
        <v>242</v>
      </c>
      <c r="N9" s="70" t="s">
        <v>243</v>
      </c>
      <c r="O9" s="70" t="s">
        <v>244</v>
      </c>
      <c r="P9" s="73" t="s">
        <v>82</v>
      </c>
      <c r="Q9" s="74" t="s">
        <v>694</v>
      </c>
      <c r="R9" s="69" t="s">
        <v>18</v>
      </c>
      <c r="S9" s="75"/>
    </row>
    <row r="10" spans="1:19" ht="33" customHeight="1">
      <c r="A10" s="68">
        <f>SUBTOTAL(3,B$4:B10)</f>
        <v>7</v>
      </c>
      <c r="B10" s="106" t="s">
        <v>349</v>
      </c>
      <c r="C10" s="107" t="s">
        <v>489</v>
      </c>
      <c r="D10" s="108" t="s">
        <v>385</v>
      </c>
      <c r="E10" s="71" t="s">
        <v>231</v>
      </c>
      <c r="F10" s="106" t="s">
        <v>238</v>
      </c>
      <c r="G10" s="107" t="s">
        <v>245</v>
      </c>
      <c r="H10" s="69" t="s">
        <v>246</v>
      </c>
      <c r="I10" s="70" t="s">
        <v>690</v>
      </c>
      <c r="J10" s="106">
        <v>2020</v>
      </c>
      <c r="K10" s="72">
        <v>2265</v>
      </c>
      <c r="L10" s="70" t="s">
        <v>279</v>
      </c>
      <c r="M10" s="70" t="s">
        <v>242</v>
      </c>
      <c r="N10" s="70" t="s">
        <v>243</v>
      </c>
      <c r="O10" s="70" t="s">
        <v>247</v>
      </c>
      <c r="P10" s="73" t="s">
        <v>82</v>
      </c>
      <c r="Q10" s="74" t="s">
        <v>694</v>
      </c>
      <c r="R10" s="69" t="s">
        <v>18</v>
      </c>
      <c r="S10" s="75"/>
    </row>
    <row r="11" spans="1:19" ht="33" customHeight="1">
      <c r="A11" s="68">
        <f>SUBTOTAL(3,B$4:B11)</f>
        <v>8</v>
      </c>
      <c r="B11" s="106" t="s">
        <v>363</v>
      </c>
      <c r="C11" s="107" t="s">
        <v>489</v>
      </c>
      <c r="D11" s="109" t="s">
        <v>385</v>
      </c>
      <c r="E11" s="71" t="s">
        <v>231</v>
      </c>
      <c r="F11" s="106" t="s">
        <v>255</v>
      </c>
      <c r="G11" s="107" t="s">
        <v>254</v>
      </c>
      <c r="H11" s="69" t="s">
        <v>256</v>
      </c>
      <c r="I11" s="70" t="s">
        <v>257</v>
      </c>
      <c r="J11" s="106">
        <v>2020</v>
      </c>
      <c r="K11" s="72">
        <v>2105</v>
      </c>
      <c r="L11" s="70" t="s">
        <v>281</v>
      </c>
      <c r="M11" s="70" t="s">
        <v>203</v>
      </c>
      <c r="N11" s="70" t="s">
        <v>258</v>
      </c>
      <c r="O11" s="72" t="s">
        <v>260</v>
      </c>
      <c r="P11" s="72" t="s">
        <v>82</v>
      </c>
      <c r="Q11" s="74" t="s">
        <v>694</v>
      </c>
      <c r="R11" s="69" t="s">
        <v>18</v>
      </c>
      <c r="S11" s="75"/>
    </row>
    <row r="12" spans="1:19" ht="33" customHeight="1">
      <c r="A12" s="68">
        <f>SUBTOTAL(3,B$4:B12)</f>
        <v>9</v>
      </c>
      <c r="B12" s="69" t="s">
        <v>364</v>
      </c>
      <c r="C12" s="70" t="s">
        <v>489</v>
      </c>
      <c r="D12" s="71" t="s">
        <v>385</v>
      </c>
      <c r="E12" s="71" t="s">
        <v>231</v>
      </c>
      <c r="F12" s="69" t="s">
        <v>300</v>
      </c>
      <c r="G12" s="70" t="s">
        <v>299</v>
      </c>
      <c r="H12" s="69" t="s">
        <v>301</v>
      </c>
      <c r="I12" s="70" t="s">
        <v>692</v>
      </c>
      <c r="J12" s="69">
        <v>2021</v>
      </c>
      <c r="K12" s="72">
        <v>1560</v>
      </c>
      <c r="L12" s="70" t="s">
        <v>302</v>
      </c>
      <c r="M12" s="70" t="s">
        <v>203</v>
      </c>
      <c r="N12" s="70" t="s">
        <v>691</v>
      </c>
      <c r="O12" s="70" t="s">
        <v>303</v>
      </c>
      <c r="P12" s="73" t="s">
        <v>82</v>
      </c>
      <c r="Q12" s="74" t="s">
        <v>694</v>
      </c>
      <c r="R12" s="69" t="s">
        <v>18</v>
      </c>
      <c r="S12" s="75"/>
    </row>
    <row r="13" spans="1:19" ht="33" customHeight="1">
      <c r="A13" s="68">
        <f>SUBTOTAL(3,B$4:B13)</f>
        <v>10</v>
      </c>
      <c r="B13" s="69" t="s">
        <v>379</v>
      </c>
      <c r="C13" s="70" t="s">
        <v>489</v>
      </c>
      <c r="D13" s="71" t="s">
        <v>385</v>
      </c>
      <c r="E13" s="71" t="s">
        <v>231</v>
      </c>
      <c r="F13" s="69" t="s">
        <v>381</v>
      </c>
      <c r="G13" s="70" t="s">
        <v>382</v>
      </c>
      <c r="H13" s="69" t="s">
        <v>383</v>
      </c>
      <c r="I13" s="73" t="s">
        <v>718</v>
      </c>
      <c r="J13" s="69">
        <v>2025</v>
      </c>
      <c r="K13" s="72">
        <v>1395</v>
      </c>
      <c r="L13" s="70" t="s">
        <v>384</v>
      </c>
      <c r="M13" s="74" t="s">
        <v>719</v>
      </c>
      <c r="N13" s="74" t="s">
        <v>717</v>
      </c>
      <c r="O13" s="74" t="s">
        <v>694</v>
      </c>
      <c r="P13" s="73" t="s">
        <v>71</v>
      </c>
      <c r="Q13" s="74" t="s">
        <v>694</v>
      </c>
      <c r="R13" s="69" t="s">
        <v>18</v>
      </c>
      <c r="S13" s="75"/>
    </row>
    <row r="14" spans="1:19" ht="33" customHeight="1">
      <c r="A14" s="68">
        <f>SUBTOTAL(3,B$4:B14)</f>
        <v>11</v>
      </c>
      <c r="B14" s="69" t="s">
        <v>380</v>
      </c>
      <c r="C14" s="70" t="s">
        <v>489</v>
      </c>
      <c r="D14" s="71" t="s">
        <v>385</v>
      </c>
      <c r="E14" s="71" t="s">
        <v>231</v>
      </c>
      <c r="F14" s="69" t="s">
        <v>381</v>
      </c>
      <c r="G14" s="70" t="s">
        <v>402</v>
      </c>
      <c r="H14" s="69" t="s">
        <v>403</v>
      </c>
      <c r="I14" s="73" t="s">
        <v>498</v>
      </c>
      <c r="J14" s="69">
        <v>2025</v>
      </c>
      <c r="K14" s="72">
        <v>1395</v>
      </c>
      <c r="L14" s="70" t="s">
        <v>384</v>
      </c>
      <c r="M14" s="74" t="s">
        <v>719</v>
      </c>
      <c r="N14" s="74" t="s">
        <v>717</v>
      </c>
      <c r="O14" s="74" t="s">
        <v>694</v>
      </c>
      <c r="P14" s="73" t="s">
        <v>71</v>
      </c>
      <c r="Q14" s="74" t="s">
        <v>694</v>
      </c>
      <c r="R14" s="69" t="s">
        <v>18</v>
      </c>
      <c r="S14" s="75"/>
    </row>
    <row r="15" spans="1:19" ht="33" customHeight="1">
      <c r="A15" s="68">
        <f>SUBTOTAL(3,B$4:B15)</f>
        <v>12</v>
      </c>
      <c r="B15" s="69" t="s">
        <v>320</v>
      </c>
      <c r="C15" s="70" t="s">
        <v>35</v>
      </c>
      <c r="D15" s="71" t="s">
        <v>386</v>
      </c>
      <c r="E15" s="71" t="s">
        <v>73</v>
      </c>
      <c r="F15" s="69" t="s">
        <v>74</v>
      </c>
      <c r="G15" s="70" t="s">
        <v>75</v>
      </c>
      <c r="H15" s="69" t="s">
        <v>76</v>
      </c>
      <c r="I15" s="70" t="s">
        <v>77</v>
      </c>
      <c r="J15" s="69">
        <v>2020</v>
      </c>
      <c r="K15" s="72">
        <v>9110</v>
      </c>
      <c r="L15" s="70" t="s">
        <v>78</v>
      </c>
      <c r="M15" s="70" t="s">
        <v>79</v>
      </c>
      <c r="N15" s="70" t="s">
        <v>80</v>
      </c>
      <c r="O15" s="70" t="s">
        <v>81</v>
      </c>
      <c r="P15" s="72" t="s">
        <v>22</v>
      </c>
      <c r="Q15" s="74" t="s">
        <v>694</v>
      </c>
      <c r="R15" s="69" t="s">
        <v>18</v>
      </c>
      <c r="S15" s="75"/>
    </row>
    <row r="16" spans="1:19" ht="33" customHeight="1">
      <c r="A16" s="68">
        <f>SUBTOTAL(3,B$4:B16)</f>
        <v>13</v>
      </c>
      <c r="B16" s="69" t="s">
        <v>321</v>
      </c>
      <c r="C16" s="70" t="s">
        <v>11</v>
      </c>
      <c r="D16" s="71" t="s">
        <v>386</v>
      </c>
      <c r="E16" s="71" t="s">
        <v>73</v>
      </c>
      <c r="F16" s="69" t="s">
        <v>74</v>
      </c>
      <c r="G16" s="70" t="s">
        <v>476</v>
      </c>
      <c r="H16" s="69" t="s">
        <v>83</v>
      </c>
      <c r="I16" s="70" t="s">
        <v>77</v>
      </c>
      <c r="J16" s="69">
        <v>2023</v>
      </c>
      <c r="K16" s="72">
        <v>9110</v>
      </c>
      <c r="L16" s="70" t="s">
        <v>78</v>
      </c>
      <c r="M16" s="70" t="s">
        <v>79</v>
      </c>
      <c r="N16" s="70" t="s">
        <v>80</v>
      </c>
      <c r="O16" s="70" t="s">
        <v>84</v>
      </c>
      <c r="P16" s="73" t="s">
        <v>71</v>
      </c>
      <c r="Q16" s="74" t="s">
        <v>694</v>
      </c>
      <c r="R16" s="69" t="s">
        <v>18</v>
      </c>
      <c r="S16" s="75"/>
    </row>
    <row r="17" spans="1:19" ht="33" customHeight="1">
      <c r="A17" s="68">
        <f>SUBTOTAL(3,B$4:B17)</f>
        <v>14</v>
      </c>
      <c r="B17" s="69" t="s">
        <v>350</v>
      </c>
      <c r="C17" s="70" t="s">
        <v>489</v>
      </c>
      <c r="D17" s="71" t="s">
        <v>387</v>
      </c>
      <c r="E17" s="71" t="s">
        <v>186</v>
      </c>
      <c r="F17" s="69" t="s">
        <v>191</v>
      </c>
      <c r="G17" s="70" t="s">
        <v>190</v>
      </c>
      <c r="H17" s="69" t="s">
        <v>187</v>
      </c>
      <c r="I17" s="70" t="s">
        <v>193</v>
      </c>
      <c r="J17" s="69">
        <v>2019</v>
      </c>
      <c r="K17" s="72">
        <v>9020</v>
      </c>
      <c r="L17" s="70" t="s">
        <v>274</v>
      </c>
      <c r="M17" s="70" t="s">
        <v>192</v>
      </c>
      <c r="N17" s="70" t="s">
        <v>188</v>
      </c>
      <c r="O17" s="70" t="s">
        <v>189</v>
      </c>
      <c r="P17" s="72" t="s">
        <v>22</v>
      </c>
      <c r="Q17" s="74" t="s">
        <v>694</v>
      </c>
      <c r="R17" s="69" t="s">
        <v>18</v>
      </c>
      <c r="S17" s="75"/>
    </row>
    <row r="18" spans="1:19" ht="33" customHeight="1">
      <c r="A18" s="68">
        <f>SUBTOTAL(3,B$4:B18)</f>
        <v>15</v>
      </c>
      <c r="B18" s="69" t="s">
        <v>351</v>
      </c>
      <c r="C18" s="70" t="s">
        <v>489</v>
      </c>
      <c r="D18" s="71" t="s">
        <v>387</v>
      </c>
      <c r="E18" s="71" t="s">
        <v>186</v>
      </c>
      <c r="F18" s="69" t="s">
        <v>191</v>
      </c>
      <c r="G18" s="70" t="s">
        <v>195</v>
      </c>
      <c r="H18" s="69" t="s">
        <v>194</v>
      </c>
      <c r="I18" s="70" t="s">
        <v>193</v>
      </c>
      <c r="J18" s="69">
        <v>2019</v>
      </c>
      <c r="K18" s="72">
        <v>9020</v>
      </c>
      <c r="L18" s="70" t="s">
        <v>274</v>
      </c>
      <c r="M18" s="70" t="s">
        <v>192</v>
      </c>
      <c r="N18" s="70" t="s">
        <v>188</v>
      </c>
      <c r="O18" s="70" t="s">
        <v>196</v>
      </c>
      <c r="P18" s="72" t="s">
        <v>22</v>
      </c>
      <c r="Q18" s="74" t="s">
        <v>694</v>
      </c>
      <c r="R18" s="69" t="s">
        <v>18</v>
      </c>
      <c r="S18" s="75"/>
    </row>
    <row r="19" spans="1:19" ht="33" customHeight="1">
      <c r="A19" s="68">
        <f>SUBTOTAL(3,B$4:B19)</f>
        <v>16</v>
      </c>
      <c r="B19" s="69" t="s">
        <v>352</v>
      </c>
      <c r="C19" s="70" t="s">
        <v>489</v>
      </c>
      <c r="D19" s="71" t="s">
        <v>387</v>
      </c>
      <c r="E19" s="71" t="s">
        <v>186</v>
      </c>
      <c r="F19" s="69" t="s">
        <v>219</v>
      </c>
      <c r="G19" s="70" t="s">
        <v>218</v>
      </c>
      <c r="H19" s="69" t="s">
        <v>217</v>
      </c>
      <c r="I19" s="70" t="s">
        <v>222</v>
      </c>
      <c r="J19" s="69">
        <v>2020</v>
      </c>
      <c r="K19" s="72">
        <v>10500</v>
      </c>
      <c r="L19" s="70" t="s">
        <v>277</v>
      </c>
      <c r="M19" s="70" t="s">
        <v>27</v>
      </c>
      <c r="N19" s="70" t="s">
        <v>221</v>
      </c>
      <c r="O19" s="70" t="s">
        <v>220</v>
      </c>
      <c r="P19" s="72" t="s">
        <v>22</v>
      </c>
      <c r="Q19" s="74" t="s">
        <v>694</v>
      </c>
      <c r="R19" s="69" t="s">
        <v>18</v>
      </c>
      <c r="S19" s="75"/>
    </row>
    <row r="20" spans="1:19" ht="33" customHeight="1">
      <c r="A20" s="68">
        <f>SUBTOTAL(3,B$4:B20)</f>
        <v>17</v>
      </c>
      <c r="B20" s="69" t="s">
        <v>353</v>
      </c>
      <c r="C20" s="70" t="s">
        <v>489</v>
      </c>
      <c r="D20" s="71" t="s">
        <v>387</v>
      </c>
      <c r="E20" s="71" t="s">
        <v>186</v>
      </c>
      <c r="F20" s="69" t="s">
        <v>219</v>
      </c>
      <c r="G20" s="70" t="s">
        <v>223</v>
      </c>
      <c r="H20" s="69" t="s">
        <v>224</v>
      </c>
      <c r="I20" s="70" t="s">
        <v>222</v>
      </c>
      <c r="J20" s="69">
        <v>2020</v>
      </c>
      <c r="K20" s="72">
        <v>10500</v>
      </c>
      <c r="L20" s="70" t="s">
        <v>277</v>
      </c>
      <c r="M20" s="70" t="s">
        <v>27</v>
      </c>
      <c r="N20" s="70" t="s">
        <v>225</v>
      </c>
      <c r="O20" s="70" t="s">
        <v>226</v>
      </c>
      <c r="P20" s="72" t="s">
        <v>22</v>
      </c>
      <c r="Q20" s="74" t="s">
        <v>694</v>
      </c>
      <c r="R20" s="69" t="s">
        <v>18</v>
      </c>
      <c r="S20" s="75"/>
    </row>
    <row r="21" spans="1:19" ht="33" customHeight="1">
      <c r="A21" s="68">
        <f>SUBTOTAL(3,B$4:B21)</f>
        <v>18</v>
      </c>
      <c r="B21" s="69" t="s">
        <v>354</v>
      </c>
      <c r="C21" s="70" t="s">
        <v>489</v>
      </c>
      <c r="D21" s="71" t="s">
        <v>387</v>
      </c>
      <c r="E21" s="71" t="s">
        <v>186</v>
      </c>
      <c r="F21" s="69" t="s">
        <v>219</v>
      </c>
      <c r="G21" s="70" t="s">
        <v>227</v>
      </c>
      <c r="H21" s="69" t="s">
        <v>228</v>
      </c>
      <c r="I21" s="70" t="s">
        <v>222</v>
      </c>
      <c r="J21" s="69">
        <v>2020</v>
      </c>
      <c r="K21" s="72">
        <v>10500</v>
      </c>
      <c r="L21" s="70" t="s">
        <v>277</v>
      </c>
      <c r="M21" s="70" t="s">
        <v>27</v>
      </c>
      <c r="N21" s="70" t="s">
        <v>225</v>
      </c>
      <c r="O21" s="70" t="s">
        <v>229</v>
      </c>
      <c r="P21" s="72" t="s">
        <v>22</v>
      </c>
      <c r="Q21" s="74" t="s">
        <v>694</v>
      </c>
      <c r="R21" s="69" t="s">
        <v>18</v>
      </c>
      <c r="S21" s="75"/>
    </row>
    <row r="22" spans="1:19" ht="33" customHeight="1">
      <c r="A22" s="68">
        <f>SUBTOTAL(3,B$4:B22)</f>
        <v>19</v>
      </c>
      <c r="B22" s="69" t="s">
        <v>368</v>
      </c>
      <c r="C22" s="70" t="s">
        <v>489</v>
      </c>
      <c r="D22" s="71" t="s">
        <v>387</v>
      </c>
      <c r="E22" s="71" t="s">
        <v>186</v>
      </c>
      <c r="F22" s="69" t="s">
        <v>219</v>
      </c>
      <c r="G22" s="70" t="s">
        <v>365</v>
      </c>
      <c r="H22" s="69" t="s">
        <v>366</v>
      </c>
      <c r="I22" s="70" t="s">
        <v>222</v>
      </c>
      <c r="J22" s="69">
        <v>2020</v>
      </c>
      <c r="K22" s="72">
        <v>10500</v>
      </c>
      <c r="L22" s="70" t="s">
        <v>277</v>
      </c>
      <c r="M22" s="70" t="s">
        <v>27</v>
      </c>
      <c r="N22" s="70" t="s">
        <v>225</v>
      </c>
      <c r="O22" s="70" t="s">
        <v>367</v>
      </c>
      <c r="P22" s="72" t="s">
        <v>22</v>
      </c>
      <c r="Q22" s="74" t="s">
        <v>694</v>
      </c>
      <c r="R22" s="69" t="s">
        <v>18</v>
      </c>
      <c r="S22" s="75"/>
    </row>
    <row r="23" spans="1:19" ht="33" customHeight="1">
      <c r="A23" s="68">
        <f>SUBTOTAL(3,B$4:B23)</f>
        <v>20</v>
      </c>
      <c r="B23" s="69" t="s">
        <v>369</v>
      </c>
      <c r="C23" s="70" t="s">
        <v>489</v>
      </c>
      <c r="D23" s="71" t="s">
        <v>387</v>
      </c>
      <c r="E23" s="71" t="s">
        <v>186</v>
      </c>
      <c r="F23" s="69" t="s">
        <v>219</v>
      </c>
      <c r="G23" s="70" t="s">
        <v>370</v>
      </c>
      <c r="H23" s="69" t="s">
        <v>371</v>
      </c>
      <c r="I23" s="70" t="s">
        <v>222</v>
      </c>
      <c r="J23" s="69">
        <v>2020</v>
      </c>
      <c r="K23" s="72">
        <v>10500</v>
      </c>
      <c r="L23" s="70" t="s">
        <v>277</v>
      </c>
      <c r="M23" s="70" t="s">
        <v>27</v>
      </c>
      <c r="N23" s="70" t="s">
        <v>225</v>
      </c>
      <c r="O23" s="70" t="s">
        <v>372</v>
      </c>
      <c r="P23" s="72" t="s">
        <v>22</v>
      </c>
      <c r="Q23" s="74" t="s">
        <v>694</v>
      </c>
      <c r="R23" s="69" t="s">
        <v>18</v>
      </c>
      <c r="S23" s="75"/>
    </row>
    <row r="24" spans="1:19" ht="33" customHeight="1">
      <c r="A24" s="68">
        <f>SUBTOTAL(3,B$4:B24)</f>
        <v>21</v>
      </c>
      <c r="B24" s="69" t="s">
        <v>311</v>
      </c>
      <c r="C24" s="70" t="s">
        <v>35</v>
      </c>
      <c r="D24" s="71" t="s">
        <v>388</v>
      </c>
      <c r="E24" s="71" t="s">
        <v>29</v>
      </c>
      <c r="F24" s="69" t="s">
        <v>30</v>
      </c>
      <c r="G24" s="70" t="s">
        <v>31</v>
      </c>
      <c r="H24" s="77" t="s">
        <v>38</v>
      </c>
      <c r="I24" s="70" t="s">
        <v>499</v>
      </c>
      <c r="J24" s="69">
        <v>2022</v>
      </c>
      <c r="K24" s="72">
        <v>20000</v>
      </c>
      <c r="L24" s="70" t="s">
        <v>32</v>
      </c>
      <c r="M24" s="70" t="s">
        <v>33</v>
      </c>
      <c r="N24" s="70" t="s">
        <v>34</v>
      </c>
      <c r="O24" s="72">
        <v>77084359</v>
      </c>
      <c r="P24" s="72" t="s">
        <v>22</v>
      </c>
      <c r="Q24" s="74" t="s">
        <v>694</v>
      </c>
      <c r="R24" s="69" t="s">
        <v>18</v>
      </c>
      <c r="S24" s="75"/>
    </row>
    <row r="25" spans="1:19" ht="33" customHeight="1">
      <c r="A25" s="68">
        <f>SUBTOTAL(3,B$4:B25)</f>
        <v>22</v>
      </c>
      <c r="B25" s="69" t="s">
        <v>312</v>
      </c>
      <c r="C25" s="70" t="s">
        <v>11</v>
      </c>
      <c r="D25" s="71" t="s">
        <v>388</v>
      </c>
      <c r="E25" s="71" t="s">
        <v>29</v>
      </c>
      <c r="F25" s="69" t="s">
        <v>30</v>
      </c>
      <c r="G25" s="70" t="s">
        <v>36</v>
      </c>
      <c r="H25" s="77" t="s">
        <v>37</v>
      </c>
      <c r="I25" s="70" t="s">
        <v>499</v>
      </c>
      <c r="J25" s="69">
        <v>2022</v>
      </c>
      <c r="K25" s="72">
        <v>20000</v>
      </c>
      <c r="L25" s="70" t="s">
        <v>32</v>
      </c>
      <c r="M25" s="70" t="s">
        <v>33</v>
      </c>
      <c r="N25" s="70" t="s">
        <v>34</v>
      </c>
      <c r="O25" s="72">
        <v>77103314</v>
      </c>
      <c r="P25" s="72" t="s">
        <v>22</v>
      </c>
      <c r="Q25" s="74" t="s">
        <v>694</v>
      </c>
      <c r="R25" s="69" t="s">
        <v>18</v>
      </c>
      <c r="S25" s="75"/>
    </row>
    <row r="26" spans="1:19" ht="33" customHeight="1">
      <c r="A26" s="68">
        <f>SUBTOTAL(3,B$4:B26)</f>
        <v>23</v>
      </c>
      <c r="B26" s="69" t="s">
        <v>313</v>
      </c>
      <c r="C26" s="70" t="s">
        <v>11</v>
      </c>
      <c r="D26" s="71" t="s">
        <v>388</v>
      </c>
      <c r="E26" s="71" t="s">
        <v>29</v>
      </c>
      <c r="F26" s="69" t="s">
        <v>30</v>
      </c>
      <c r="G26" s="70" t="s">
        <v>39</v>
      </c>
      <c r="H26" s="77" t="s">
        <v>40</v>
      </c>
      <c r="I26" s="70" t="s">
        <v>499</v>
      </c>
      <c r="J26" s="69">
        <v>2022</v>
      </c>
      <c r="K26" s="72">
        <v>20000</v>
      </c>
      <c r="L26" s="70" t="s">
        <v>32</v>
      </c>
      <c r="M26" s="70" t="s">
        <v>33</v>
      </c>
      <c r="N26" s="70" t="s">
        <v>34</v>
      </c>
      <c r="O26" s="72">
        <v>77081279</v>
      </c>
      <c r="P26" s="72" t="s">
        <v>22</v>
      </c>
      <c r="Q26" s="74" t="s">
        <v>694</v>
      </c>
      <c r="R26" s="69" t="s">
        <v>18</v>
      </c>
      <c r="S26" s="75"/>
    </row>
    <row r="27" spans="1:19" ht="33" customHeight="1">
      <c r="A27" s="68">
        <f>SUBTOTAL(3,B$4:B27)</f>
        <v>24</v>
      </c>
      <c r="B27" s="69" t="s">
        <v>314</v>
      </c>
      <c r="C27" s="70" t="s">
        <v>11</v>
      </c>
      <c r="D27" s="71" t="s">
        <v>388</v>
      </c>
      <c r="E27" s="71" t="s">
        <v>29</v>
      </c>
      <c r="F27" s="69" t="s">
        <v>30</v>
      </c>
      <c r="G27" s="70" t="s">
        <v>41</v>
      </c>
      <c r="H27" s="77" t="s">
        <v>42</v>
      </c>
      <c r="I27" s="70" t="s">
        <v>499</v>
      </c>
      <c r="J27" s="69">
        <v>2022</v>
      </c>
      <c r="K27" s="72">
        <v>20000</v>
      </c>
      <c r="L27" s="70" t="s">
        <v>32</v>
      </c>
      <c r="M27" s="70" t="s">
        <v>33</v>
      </c>
      <c r="N27" s="70" t="s">
        <v>34</v>
      </c>
      <c r="O27" s="72">
        <v>77085005</v>
      </c>
      <c r="P27" s="72" t="s">
        <v>22</v>
      </c>
      <c r="Q27" s="74" t="s">
        <v>694</v>
      </c>
      <c r="R27" s="69" t="s">
        <v>18</v>
      </c>
      <c r="S27" s="75"/>
    </row>
    <row r="28" spans="1:19" ht="33" customHeight="1">
      <c r="A28" s="68">
        <f>SUBTOTAL(3,B$4:B28)</f>
        <v>25</v>
      </c>
      <c r="B28" s="69" t="s">
        <v>315</v>
      </c>
      <c r="C28" s="70" t="s">
        <v>11</v>
      </c>
      <c r="D28" s="71" t="s">
        <v>388</v>
      </c>
      <c r="E28" s="71" t="s">
        <v>29</v>
      </c>
      <c r="F28" s="69" t="s">
        <v>44</v>
      </c>
      <c r="G28" s="70" t="s">
        <v>43</v>
      </c>
      <c r="H28" s="77" t="s">
        <v>45</v>
      </c>
      <c r="I28" s="70" t="s">
        <v>500</v>
      </c>
      <c r="J28" s="69">
        <v>2022</v>
      </c>
      <c r="K28" s="72">
        <v>20000</v>
      </c>
      <c r="L28" s="70" t="s">
        <v>46</v>
      </c>
      <c r="M28" s="70" t="s">
        <v>33</v>
      </c>
      <c r="N28" s="70" t="s">
        <v>34</v>
      </c>
      <c r="O28" s="72">
        <v>77103231</v>
      </c>
      <c r="P28" s="72" t="s">
        <v>22</v>
      </c>
      <c r="Q28" s="74" t="s">
        <v>694</v>
      </c>
      <c r="R28" s="69" t="s">
        <v>18</v>
      </c>
      <c r="S28" s="75"/>
    </row>
    <row r="29" spans="1:19" ht="33" customHeight="1">
      <c r="A29" s="68">
        <f>SUBTOTAL(3,B$4:B29)</f>
        <v>26</v>
      </c>
      <c r="B29" s="69" t="s">
        <v>316</v>
      </c>
      <c r="C29" s="70" t="s">
        <v>11</v>
      </c>
      <c r="D29" s="71" t="s">
        <v>388</v>
      </c>
      <c r="E29" s="71" t="s">
        <v>29</v>
      </c>
      <c r="F29" s="69" t="s">
        <v>44</v>
      </c>
      <c r="G29" s="70" t="s">
        <v>47</v>
      </c>
      <c r="H29" s="77" t="s">
        <v>48</v>
      </c>
      <c r="I29" s="70" t="s">
        <v>500</v>
      </c>
      <c r="J29" s="69">
        <v>2022</v>
      </c>
      <c r="K29" s="72">
        <v>20000</v>
      </c>
      <c r="L29" s="70" t="s">
        <v>46</v>
      </c>
      <c r="M29" s="70" t="s">
        <v>33</v>
      </c>
      <c r="N29" s="70" t="s">
        <v>34</v>
      </c>
      <c r="O29" s="72">
        <v>77103167</v>
      </c>
      <c r="P29" s="72" t="s">
        <v>22</v>
      </c>
      <c r="Q29" s="74" t="s">
        <v>694</v>
      </c>
      <c r="R29" s="69" t="s">
        <v>18</v>
      </c>
      <c r="S29" s="75"/>
    </row>
    <row r="30" spans="1:19" ht="33" customHeight="1">
      <c r="A30" s="68">
        <f>SUBTOTAL(3,B$4:B30)</f>
        <v>27</v>
      </c>
      <c r="B30" s="69" t="s">
        <v>317</v>
      </c>
      <c r="C30" s="70" t="s">
        <v>35</v>
      </c>
      <c r="D30" s="71" t="s">
        <v>388</v>
      </c>
      <c r="E30" s="71" t="s">
        <v>29</v>
      </c>
      <c r="F30" s="69" t="s">
        <v>50</v>
      </c>
      <c r="G30" s="70" t="s">
        <v>49</v>
      </c>
      <c r="H30" s="77" t="s">
        <v>51</v>
      </c>
      <c r="I30" s="70" t="s">
        <v>501</v>
      </c>
      <c r="J30" s="69">
        <v>2021</v>
      </c>
      <c r="K30" s="72">
        <v>7400</v>
      </c>
      <c r="L30" s="70" t="s">
        <v>52</v>
      </c>
      <c r="M30" s="70" t="s">
        <v>53</v>
      </c>
      <c r="N30" s="70" t="s">
        <v>54</v>
      </c>
      <c r="O30" s="70" t="s">
        <v>55</v>
      </c>
      <c r="P30" s="72" t="s">
        <v>22</v>
      </c>
      <c r="Q30" s="74" t="s">
        <v>694</v>
      </c>
      <c r="R30" s="69" t="s">
        <v>18</v>
      </c>
      <c r="S30" s="75"/>
    </row>
    <row r="31" spans="1:19" ht="33" customHeight="1">
      <c r="A31" s="68">
        <f>SUBTOTAL(3,B$4:B31)</f>
        <v>28</v>
      </c>
      <c r="B31" s="69" t="s">
        <v>339</v>
      </c>
      <c r="C31" s="70" t="s">
        <v>35</v>
      </c>
      <c r="D31" s="71" t="s">
        <v>388</v>
      </c>
      <c r="E31" s="71" t="s">
        <v>29</v>
      </c>
      <c r="F31" s="69" t="s">
        <v>176</v>
      </c>
      <c r="G31" s="70" t="s">
        <v>771</v>
      </c>
      <c r="H31" s="77">
        <v>2058325</v>
      </c>
      <c r="I31" s="70" t="s">
        <v>502</v>
      </c>
      <c r="J31" s="69">
        <v>2019</v>
      </c>
      <c r="K31" s="72">
        <v>24130</v>
      </c>
      <c r="L31" s="70" t="s">
        <v>271</v>
      </c>
      <c r="M31" s="70" t="s">
        <v>177</v>
      </c>
      <c r="N31" s="70" t="s">
        <v>178</v>
      </c>
      <c r="O31" s="70" t="s">
        <v>179</v>
      </c>
      <c r="P31" s="72" t="s">
        <v>71</v>
      </c>
      <c r="Q31" s="74" t="s">
        <v>694</v>
      </c>
      <c r="R31" s="69" t="s">
        <v>18</v>
      </c>
      <c r="S31" s="75"/>
    </row>
    <row r="32" spans="1:19" ht="33" customHeight="1">
      <c r="A32" s="68">
        <f>SUBTOTAL(3,B$4:B32)</f>
        <v>29</v>
      </c>
      <c r="B32" s="69" t="s">
        <v>340</v>
      </c>
      <c r="C32" s="70" t="s">
        <v>35</v>
      </c>
      <c r="D32" s="71" t="s">
        <v>388</v>
      </c>
      <c r="E32" s="71" t="s">
        <v>29</v>
      </c>
      <c r="F32" s="69" t="s">
        <v>176</v>
      </c>
      <c r="G32" s="70" t="s">
        <v>473</v>
      </c>
      <c r="H32" s="77">
        <v>2063998</v>
      </c>
      <c r="I32" s="70" t="s">
        <v>502</v>
      </c>
      <c r="J32" s="69">
        <v>2019</v>
      </c>
      <c r="K32" s="72">
        <v>24130</v>
      </c>
      <c r="L32" s="70" t="s">
        <v>271</v>
      </c>
      <c r="M32" s="70" t="s">
        <v>177</v>
      </c>
      <c r="N32" s="70" t="s">
        <v>178</v>
      </c>
      <c r="O32" s="70" t="s">
        <v>180</v>
      </c>
      <c r="P32" s="72" t="s">
        <v>71</v>
      </c>
      <c r="Q32" s="74" t="s">
        <v>694</v>
      </c>
      <c r="R32" s="69" t="s">
        <v>18</v>
      </c>
      <c r="S32" s="75"/>
    </row>
    <row r="33" spans="1:19" ht="33" customHeight="1">
      <c r="A33" s="68">
        <f>SUBTOTAL(3,B$4:B33)</f>
        <v>30</v>
      </c>
      <c r="B33" s="69" t="s">
        <v>341</v>
      </c>
      <c r="C33" s="70" t="s">
        <v>35</v>
      </c>
      <c r="D33" s="71" t="s">
        <v>388</v>
      </c>
      <c r="E33" s="71" t="s">
        <v>29</v>
      </c>
      <c r="F33" s="69" t="s">
        <v>181</v>
      </c>
      <c r="G33" s="70" t="s">
        <v>475</v>
      </c>
      <c r="H33" s="77">
        <v>2055944</v>
      </c>
      <c r="I33" s="70" t="s">
        <v>503</v>
      </c>
      <c r="J33" s="69">
        <v>2019</v>
      </c>
      <c r="K33" s="72">
        <v>20350</v>
      </c>
      <c r="L33" s="70" t="s">
        <v>272</v>
      </c>
      <c r="M33" s="70" t="s">
        <v>177</v>
      </c>
      <c r="N33" s="70" t="s">
        <v>178</v>
      </c>
      <c r="O33" s="70" t="s">
        <v>182</v>
      </c>
      <c r="P33" s="72" t="s">
        <v>71</v>
      </c>
      <c r="Q33" s="74" t="s">
        <v>694</v>
      </c>
      <c r="R33" s="69" t="s">
        <v>18</v>
      </c>
      <c r="S33" s="75"/>
    </row>
    <row r="34" spans="1:19" ht="33" customHeight="1">
      <c r="A34" s="68">
        <f>SUBTOTAL(3,B$4:B34)</f>
        <v>31</v>
      </c>
      <c r="B34" s="69" t="s">
        <v>342</v>
      </c>
      <c r="C34" s="70" t="s">
        <v>35</v>
      </c>
      <c r="D34" s="71" t="s">
        <v>388</v>
      </c>
      <c r="E34" s="71" t="s">
        <v>29</v>
      </c>
      <c r="F34" s="69" t="s">
        <v>183</v>
      </c>
      <c r="G34" s="70" t="s">
        <v>472</v>
      </c>
      <c r="H34" s="77">
        <v>2062084</v>
      </c>
      <c r="I34" s="70" t="s">
        <v>504</v>
      </c>
      <c r="J34" s="69">
        <v>2019</v>
      </c>
      <c r="K34" s="72">
        <v>5850</v>
      </c>
      <c r="L34" s="70" t="s">
        <v>273</v>
      </c>
      <c r="M34" s="70" t="s">
        <v>184</v>
      </c>
      <c r="N34" s="70" t="s">
        <v>185</v>
      </c>
      <c r="O34" s="70">
        <v>4909103000</v>
      </c>
      <c r="P34" s="72" t="s">
        <v>71</v>
      </c>
      <c r="Q34" s="74" t="s">
        <v>694</v>
      </c>
      <c r="R34" s="69" t="s">
        <v>18</v>
      </c>
      <c r="S34" s="75"/>
    </row>
    <row r="35" spans="1:19" ht="33" customHeight="1">
      <c r="A35" s="68">
        <f>SUBTOTAL(3,B$4:B35)</f>
        <v>32</v>
      </c>
      <c r="B35" s="69" t="s">
        <v>319</v>
      </c>
      <c r="C35" s="70" t="s">
        <v>11</v>
      </c>
      <c r="D35" s="71" t="s">
        <v>389</v>
      </c>
      <c r="E35" s="71" t="s">
        <v>65</v>
      </c>
      <c r="F35" s="69" t="s">
        <v>769</v>
      </c>
      <c r="G35" s="70" t="s">
        <v>474</v>
      </c>
      <c r="H35" s="69" t="s">
        <v>64</v>
      </c>
      <c r="I35" s="70" t="s">
        <v>67</v>
      </c>
      <c r="J35" s="69">
        <v>2023</v>
      </c>
      <c r="K35" s="72">
        <v>21000</v>
      </c>
      <c r="L35" s="70" t="s">
        <v>68</v>
      </c>
      <c r="M35" s="70" t="s">
        <v>69</v>
      </c>
      <c r="N35" s="70" t="s">
        <v>70</v>
      </c>
      <c r="O35" s="72">
        <v>90212110</v>
      </c>
      <c r="P35" s="73" t="s">
        <v>71</v>
      </c>
      <c r="Q35" s="74" t="s">
        <v>694</v>
      </c>
      <c r="R35" s="69" t="s">
        <v>18</v>
      </c>
      <c r="S35" s="75"/>
    </row>
    <row r="36" spans="1:19" ht="33" customHeight="1">
      <c r="A36" s="68">
        <f>SUBTOTAL(3,B$4:B36)</f>
        <v>33</v>
      </c>
      <c r="B36" s="69" t="s">
        <v>318</v>
      </c>
      <c r="C36" s="70" t="s">
        <v>11</v>
      </c>
      <c r="D36" s="78" t="s">
        <v>390</v>
      </c>
      <c r="E36" s="78" t="s">
        <v>169</v>
      </c>
      <c r="F36" s="69" t="s">
        <v>59</v>
      </c>
      <c r="G36" s="70" t="s">
        <v>768</v>
      </c>
      <c r="H36" s="69" t="s">
        <v>61</v>
      </c>
      <c r="I36" s="70" t="s">
        <v>505</v>
      </c>
      <c r="J36" s="69">
        <v>2023</v>
      </c>
      <c r="K36" s="72">
        <v>19840</v>
      </c>
      <c r="L36" s="70" t="s">
        <v>63</v>
      </c>
      <c r="M36" s="70" t="s">
        <v>60</v>
      </c>
      <c r="N36" s="70" t="s">
        <v>62</v>
      </c>
      <c r="O36" s="72">
        <v>77279092</v>
      </c>
      <c r="P36" s="70" t="s">
        <v>71</v>
      </c>
      <c r="Q36" s="74" t="s">
        <v>694</v>
      </c>
      <c r="R36" s="69" t="s">
        <v>18</v>
      </c>
      <c r="S36" s="75"/>
    </row>
    <row r="37" spans="1:19" ht="33" customHeight="1">
      <c r="A37" s="68">
        <f>SUBTOTAL(3,B$4:B37)</f>
        <v>34</v>
      </c>
      <c r="B37" s="69" t="s">
        <v>326</v>
      </c>
      <c r="C37" s="70" t="s">
        <v>35</v>
      </c>
      <c r="D37" s="78" t="s">
        <v>390</v>
      </c>
      <c r="E37" s="78" t="s">
        <v>169</v>
      </c>
      <c r="F37" s="69" t="s">
        <v>172</v>
      </c>
      <c r="G37" s="70" t="s">
        <v>170</v>
      </c>
      <c r="H37" s="69" t="s">
        <v>171</v>
      </c>
      <c r="I37" s="70" t="s">
        <v>173</v>
      </c>
      <c r="J37" s="69">
        <v>2025</v>
      </c>
      <c r="K37" s="72">
        <v>12300</v>
      </c>
      <c r="L37" s="70" t="s">
        <v>174</v>
      </c>
      <c r="M37" s="70" t="s">
        <v>175</v>
      </c>
      <c r="N37" s="70" t="s">
        <v>62</v>
      </c>
      <c r="O37" s="72">
        <v>77771712</v>
      </c>
      <c r="P37" s="70" t="s">
        <v>71</v>
      </c>
      <c r="Q37" s="74" t="s">
        <v>694</v>
      </c>
      <c r="R37" s="69" t="s">
        <v>18</v>
      </c>
      <c r="S37" s="75"/>
    </row>
    <row r="38" spans="1:19" ht="33" customHeight="1">
      <c r="A38" s="68">
        <f>SUBTOTAL(3,B$4:B38)</f>
        <v>35</v>
      </c>
      <c r="B38" s="69" t="s">
        <v>338</v>
      </c>
      <c r="C38" s="70" t="s">
        <v>467</v>
      </c>
      <c r="D38" s="78" t="s">
        <v>392</v>
      </c>
      <c r="E38" s="78" t="s">
        <v>108</v>
      </c>
      <c r="F38" s="69" t="s">
        <v>109</v>
      </c>
      <c r="G38" s="70" t="s">
        <v>110</v>
      </c>
      <c r="H38" s="69" t="s">
        <v>111</v>
      </c>
      <c r="I38" s="70" t="s">
        <v>506</v>
      </c>
      <c r="J38" s="69">
        <v>2023</v>
      </c>
      <c r="K38" s="72">
        <v>8220</v>
      </c>
      <c r="L38" s="70" t="s">
        <v>693</v>
      </c>
      <c r="M38" s="70" t="s">
        <v>112</v>
      </c>
      <c r="N38" s="70" t="s">
        <v>113</v>
      </c>
      <c r="O38" s="72">
        <v>430669</v>
      </c>
      <c r="P38" s="70" t="s">
        <v>71</v>
      </c>
      <c r="Q38" s="74" t="s">
        <v>694</v>
      </c>
      <c r="R38" s="69" t="s">
        <v>18</v>
      </c>
      <c r="S38" s="75"/>
    </row>
    <row r="39" spans="1:19" ht="33" customHeight="1">
      <c r="A39" s="68">
        <f>SUBTOTAL(3,B$4:B39)</f>
        <v>36</v>
      </c>
      <c r="B39" s="69" t="s">
        <v>337</v>
      </c>
      <c r="C39" s="70" t="s">
        <v>35</v>
      </c>
      <c r="D39" s="78" t="s">
        <v>392</v>
      </c>
      <c r="E39" s="78" t="s">
        <v>108</v>
      </c>
      <c r="F39" s="69" t="s">
        <v>153</v>
      </c>
      <c r="G39" s="70" t="s">
        <v>154</v>
      </c>
      <c r="H39" s="69" t="s">
        <v>155</v>
      </c>
      <c r="I39" s="70" t="s">
        <v>507</v>
      </c>
      <c r="J39" s="69">
        <v>2025</v>
      </c>
      <c r="K39" s="72">
        <v>7230</v>
      </c>
      <c r="L39" s="70" t="s">
        <v>156</v>
      </c>
      <c r="M39" s="70" t="s">
        <v>104</v>
      </c>
      <c r="N39" s="70" t="s">
        <v>157</v>
      </c>
      <c r="O39" s="72" t="s">
        <v>158</v>
      </c>
      <c r="P39" s="70" t="s">
        <v>71</v>
      </c>
      <c r="Q39" s="74" t="s">
        <v>694</v>
      </c>
      <c r="R39" s="69" t="s">
        <v>18</v>
      </c>
      <c r="S39" s="75"/>
    </row>
    <row r="40" spans="1:19" ht="33" customHeight="1">
      <c r="A40" s="68">
        <f>SUBTOTAL(3,B$4:B40)</f>
        <v>37</v>
      </c>
      <c r="B40" s="69" t="s">
        <v>355</v>
      </c>
      <c r="C40" s="70" t="s">
        <v>489</v>
      </c>
      <c r="D40" s="71" t="s">
        <v>393</v>
      </c>
      <c r="E40" s="71" t="s">
        <v>202</v>
      </c>
      <c r="F40" s="69" t="s">
        <v>199</v>
      </c>
      <c r="G40" s="70" t="s">
        <v>198</v>
      </c>
      <c r="H40" s="69" t="s">
        <v>200</v>
      </c>
      <c r="I40" s="70" t="s">
        <v>201</v>
      </c>
      <c r="J40" s="69">
        <v>2025</v>
      </c>
      <c r="K40" s="72">
        <v>3454</v>
      </c>
      <c r="L40" s="70" t="s">
        <v>275</v>
      </c>
      <c r="M40" s="70" t="s">
        <v>203</v>
      </c>
      <c r="N40" s="70" t="s">
        <v>204</v>
      </c>
      <c r="O40" s="70" t="s">
        <v>205</v>
      </c>
      <c r="P40" s="72" t="s">
        <v>22</v>
      </c>
      <c r="Q40" s="74" t="s">
        <v>694</v>
      </c>
      <c r="R40" s="69" t="s">
        <v>18</v>
      </c>
      <c r="S40" s="75"/>
    </row>
    <row r="41" spans="1:19" ht="33" customHeight="1">
      <c r="A41" s="68">
        <f>SUBTOTAL(3,B$4:B41)</f>
        <v>38</v>
      </c>
      <c r="B41" s="69" t="s">
        <v>356</v>
      </c>
      <c r="C41" s="70" t="s">
        <v>489</v>
      </c>
      <c r="D41" s="71" t="s">
        <v>393</v>
      </c>
      <c r="E41" s="71" t="s">
        <v>202</v>
      </c>
      <c r="F41" s="69" t="s">
        <v>199</v>
      </c>
      <c r="G41" s="70" t="s">
        <v>206</v>
      </c>
      <c r="H41" s="69" t="s">
        <v>208</v>
      </c>
      <c r="I41" s="70" t="s">
        <v>201</v>
      </c>
      <c r="J41" s="69">
        <v>2025</v>
      </c>
      <c r="K41" s="72">
        <v>3454</v>
      </c>
      <c r="L41" s="70" t="s">
        <v>275</v>
      </c>
      <c r="M41" s="70" t="s">
        <v>203</v>
      </c>
      <c r="N41" s="70" t="s">
        <v>204</v>
      </c>
      <c r="O41" s="70" t="s">
        <v>209</v>
      </c>
      <c r="P41" s="72" t="s">
        <v>22</v>
      </c>
      <c r="Q41" s="74" t="s">
        <v>694</v>
      </c>
      <c r="R41" s="69" t="s">
        <v>18</v>
      </c>
      <c r="S41" s="75"/>
    </row>
    <row r="42" spans="1:19" ht="33" customHeight="1">
      <c r="A42" s="68">
        <f>SUBTOTAL(3,B$4:B42)</f>
        <v>39</v>
      </c>
      <c r="B42" s="69" t="s">
        <v>357</v>
      </c>
      <c r="C42" s="70" t="s">
        <v>489</v>
      </c>
      <c r="D42" s="71" t="s">
        <v>393</v>
      </c>
      <c r="E42" s="71" t="s">
        <v>202</v>
      </c>
      <c r="F42" s="69" t="s">
        <v>212</v>
      </c>
      <c r="G42" s="70" t="s">
        <v>210</v>
      </c>
      <c r="H42" s="69" t="s">
        <v>211</v>
      </c>
      <c r="I42" s="70" t="s">
        <v>216</v>
      </c>
      <c r="J42" s="69">
        <v>2020</v>
      </c>
      <c r="K42" s="72">
        <v>2980</v>
      </c>
      <c r="L42" s="70" t="s">
        <v>276</v>
      </c>
      <c r="M42" s="70" t="s">
        <v>213</v>
      </c>
      <c r="N42" s="70" t="s">
        <v>215</v>
      </c>
      <c r="O42" s="70" t="s">
        <v>214</v>
      </c>
      <c r="P42" s="72" t="s">
        <v>22</v>
      </c>
      <c r="Q42" s="74" t="s">
        <v>694</v>
      </c>
      <c r="R42" s="69" t="s">
        <v>18</v>
      </c>
      <c r="S42" s="75"/>
    </row>
    <row r="43" spans="1:19" ht="33" customHeight="1">
      <c r="A43" s="68">
        <f>SUBTOTAL(3,B$4:B43)</f>
        <v>40</v>
      </c>
      <c r="B43" s="69" t="s">
        <v>358</v>
      </c>
      <c r="C43" s="70" t="s">
        <v>489</v>
      </c>
      <c r="D43" s="76" t="s">
        <v>393</v>
      </c>
      <c r="E43" s="71" t="s">
        <v>202</v>
      </c>
      <c r="F43" s="69" t="s">
        <v>250</v>
      </c>
      <c r="G43" s="70" t="s">
        <v>248</v>
      </c>
      <c r="H43" s="69" t="s">
        <v>249</v>
      </c>
      <c r="I43" s="70" t="s">
        <v>251</v>
      </c>
      <c r="J43" s="69">
        <v>2020</v>
      </c>
      <c r="K43" s="72">
        <v>1920</v>
      </c>
      <c r="L43" s="70" t="s">
        <v>280</v>
      </c>
      <c r="M43" s="70" t="s">
        <v>252</v>
      </c>
      <c r="N43" s="70" t="s">
        <v>259</v>
      </c>
      <c r="O43" s="72" t="s">
        <v>253</v>
      </c>
      <c r="P43" s="72" t="s">
        <v>82</v>
      </c>
      <c r="Q43" s="74" t="s">
        <v>694</v>
      </c>
      <c r="R43" s="69" t="s">
        <v>18</v>
      </c>
      <c r="S43" s="75"/>
    </row>
    <row r="44" spans="1:19" ht="33" customHeight="1">
      <c r="A44" s="68">
        <f>SUBTOTAL(3,B$4:B44)</f>
        <v>41</v>
      </c>
      <c r="B44" s="69" t="s">
        <v>360</v>
      </c>
      <c r="C44" s="70" t="s">
        <v>489</v>
      </c>
      <c r="D44" s="76" t="s">
        <v>393</v>
      </c>
      <c r="E44" s="71" t="s">
        <v>202</v>
      </c>
      <c r="F44" s="69" t="s">
        <v>289</v>
      </c>
      <c r="G44" s="70" t="s">
        <v>290</v>
      </c>
      <c r="H44" s="69" t="s">
        <v>293</v>
      </c>
      <c r="I44" s="70" t="s">
        <v>292</v>
      </c>
      <c r="J44" s="69">
        <v>2019</v>
      </c>
      <c r="K44" s="72">
        <v>2415</v>
      </c>
      <c r="L44" s="70" t="s">
        <v>291</v>
      </c>
      <c r="M44" s="70" t="s">
        <v>203</v>
      </c>
      <c r="N44" s="70" t="s">
        <v>294</v>
      </c>
      <c r="O44" s="72">
        <v>76591385</v>
      </c>
      <c r="P44" s="72" t="s">
        <v>82</v>
      </c>
      <c r="Q44" s="74" t="s">
        <v>694</v>
      </c>
      <c r="R44" s="69" t="s">
        <v>18</v>
      </c>
      <c r="S44" s="75"/>
    </row>
    <row r="45" spans="1:19" ht="33" customHeight="1">
      <c r="A45" s="68">
        <f>SUBTOTAL(3,B$4:B45)</f>
        <v>42</v>
      </c>
      <c r="B45" s="69" t="s">
        <v>361</v>
      </c>
      <c r="C45" s="70" t="s">
        <v>489</v>
      </c>
      <c r="D45" s="71" t="s">
        <v>695</v>
      </c>
      <c r="E45" s="71" t="s">
        <v>508</v>
      </c>
      <c r="F45" s="69" t="s">
        <v>296</v>
      </c>
      <c r="G45" s="70" t="s">
        <v>295</v>
      </c>
      <c r="H45" s="69" t="s">
        <v>297</v>
      </c>
      <c r="I45" s="70" t="s">
        <v>509</v>
      </c>
      <c r="J45" s="69">
        <v>2020</v>
      </c>
      <c r="K45" s="72">
        <v>2310</v>
      </c>
      <c r="L45" s="70" t="s">
        <v>298</v>
      </c>
      <c r="M45" s="70" t="s">
        <v>203</v>
      </c>
      <c r="N45" s="70" t="s">
        <v>294</v>
      </c>
      <c r="O45" s="72">
        <v>76795837</v>
      </c>
      <c r="P45" s="73" t="s">
        <v>82</v>
      </c>
      <c r="Q45" s="74" t="s">
        <v>694</v>
      </c>
      <c r="R45" s="69" t="s">
        <v>18</v>
      </c>
      <c r="S45" s="75"/>
    </row>
    <row r="46" spans="1:19" ht="33" customHeight="1">
      <c r="A46" s="68">
        <f>SUBTOTAL(3,B$4:B46)</f>
        <v>43</v>
      </c>
      <c r="B46" s="69" t="s">
        <v>362</v>
      </c>
      <c r="C46" s="70" t="s">
        <v>489</v>
      </c>
      <c r="D46" s="71" t="s">
        <v>393</v>
      </c>
      <c r="E46" s="71" t="s">
        <v>202</v>
      </c>
      <c r="F46" s="69" t="s">
        <v>374</v>
      </c>
      <c r="G46" s="70" t="s">
        <v>375</v>
      </c>
      <c r="H46" s="69" t="s">
        <v>376</v>
      </c>
      <c r="I46" s="70" t="s">
        <v>510</v>
      </c>
      <c r="J46" s="69">
        <v>2025</v>
      </c>
      <c r="K46" s="72">
        <v>2045</v>
      </c>
      <c r="L46" s="70" t="s">
        <v>377</v>
      </c>
      <c r="M46" s="70" t="s">
        <v>378</v>
      </c>
      <c r="N46" s="70" t="s">
        <v>294</v>
      </c>
      <c r="O46" s="74" t="s">
        <v>694</v>
      </c>
      <c r="P46" s="73" t="s">
        <v>71</v>
      </c>
      <c r="Q46" s="74" t="s">
        <v>694</v>
      </c>
      <c r="R46" s="69" t="s">
        <v>18</v>
      </c>
      <c r="S46" s="75"/>
    </row>
    <row r="47" spans="1:19" ht="33" customHeight="1">
      <c r="A47" s="68">
        <f>SUBTOTAL(3,B$4:B47)</f>
        <v>44</v>
      </c>
      <c r="B47" s="69" t="s">
        <v>468</v>
      </c>
      <c r="C47" s="70" t="s">
        <v>489</v>
      </c>
      <c r="D47" s="71" t="s">
        <v>695</v>
      </c>
      <c r="E47" s="71" t="s">
        <v>508</v>
      </c>
      <c r="F47" s="69" t="s">
        <v>296</v>
      </c>
      <c r="G47" s="70" t="s">
        <v>469</v>
      </c>
      <c r="H47" s="69" t="s">
        <v>470</v>
      </c>
      <c r="I47" s="70" t="s">
        <v>509</v>
      </c>
      <c r="J47" s="69">
        <v>2025</v>
      </c>
      <c r="K47" s="72">
        <v>2315</v>
      </c>
      <c r="L47" s="70" t="s">
        <v>298</v>
      </c>
      <c r="M47" s="70" t="s">
        <v>203</v>
      </c>
      <c r="N47" s="70" t="s">
        <v>204</v>
      </c>
      <c r="O47" s="72" t="s">
        <v>471</v>
      </c>
      <c r="P47" s="73" t="s">
        <v>82</v>
      </c>
      <c r="Q47" s="74" t="s">
        <v>694</v>
      </c>
      <c r="R47" s="69" t="s">
        <v>18</v>
      </c>
      <c r="S47" s="75"/>
    </row>
    <row r="48" spans="1:19" ht="33" customHeight="1">
      <c r="A48" s="68">
        <f>SUBTOTAL(3,B$4:B48)</f>
        <v>45</v>
      </c>
      <c r="B48" s="69" t="s">
        <v>322</v>
      </c>
      <c r="C48" s="70" t="s">
        <v>11</v>
      </c>
      <c r="D48" s="79" t="s">
        <v>394</v>
      </c>
      <c r="E48" s="71" t="s">
        <v>86</v>
      </c>
      <c r="F48" s="69" t="s">
        <v>88</v>
      </c>
      <c r="G48" s="70" t="s">
        <v>85</v>
      </c>
      <c r="H48" s="69" t="s">
        <v>89</v>
      </c>
      <c r="I48" s="70" t="s">
        <v>511</v>
      </c>
      <c r="J48" s="69">
        <v>2018</v>
      </c>
      <c r="K48" s="72">
        <v>2779</v>
      </c>
      <c r="L48" s="70" t="s">
        <v>91</v>
      </c>
      <c r="M48" s="70" t="s">
        <v>53</v>
      </c>
      <c r="N48" s="70" t="s">
        <v>90</v>
      </c>
      <c r="O48" s="70" t="s">
        <v>92</v>
      </c>
      <c r="P48" s="72" t="s">
        <v>22</v>
      </c>
      <c r="Q48" s="74" t="s">
        <v>694</v>
      </c>
      <c r="R48" s="69" t="s">
        <v>18</v>
      </c>
      <c r="S48" s="75"/>
    </row>
    <row r="49" spans="1:19" ht="33" customHeight="1">
      <c r="A49" s="68">
        <f>SUBTOTAL(3,B$4:B49)</f>
        <v>46</v>
      </c>
      <c r="B49" s="69" t="s">
        <v>323</v>
      </c>
      <c r="C49" s="70" t="s">
        <v>35</v>
      </c>
      <c r="D49" s="79" t="s">
        <v>394</v>
      </c>
      <c r="E49" s="71" t="s">
        <v>86</v>
      </c>
      <c r="F49" s="69" t="s">
        <v>94</v>
      </c>
      <c r="G49" s="70" t="s">
        <v>93</v>
      </c>
      <c r="H49" s="69" t="s">
        <v>95</v>
      </c>
      <c r="I49" s="70" t="s">
        <v>512</v>
      </c>
      <c r="J49" s="69">
        <v>2021</v>
      </c>
      <c r="K49" s="72">
        <v>2815</v>
      </c>
      <c r="L49" s="70" t="s">
        <v>96</v>
      </c>
      <c r="M49" s="70" t="s">
        <v>97</v>
      </c>
      <c r="N49" s="70" t="s">
        <v>54</v>
      </c>
      <c r="O49" s="70" t="s">
        <v>98</v>
      </c>
      <c r="P49" s="72" t="s">
        <v>22</v>
      </c>
      <c r="Q49" s="74" t="s">
        <v>694</v>
      </c>
      <c r="R49" s="69" t="s">
        <v>18</v>
      </c>
      <c r="S49" s="75"/>
    </row>
    <row r="50" spans="1:19" ht="33" customHeight="1">
      <c r="A50" s="68">
        <f>SUBTOTAL(3,B$4:B50)</f>
        <v>47</v>
      </c>
      <c r="B50" s="69" t="s">
        <v>480</v>
      </c>
      <c r="C50" s="70" t="s">
        <v>11</v>
      </c>
      <c r="D50" s="71" t="s">
        <v>486</v>
      </c>
      <c r="E50" s="71" t="s">
        <v>481</v>
      </c>
      <c r="F50" s="69" t="s">
        <v>482</v>
      </c>
      <c r="G50" s="70" t="s">
        <v>811</v>
      </c>
      <c r="H50" s="69" t="s">
        <v>483</v>
      </c>
      <c r="I50" s="70" t="s">
        <v>484</v>
      </c>
      <c r="J50" s="69">
        <v>2023</v>
      </c>
      <c r="K50" s="72">
        <v>15500</v>
      </c>
      <c r="L50" s="70" t="s">
        <v>520</v>
      </c>
      <c r="M50" s="70" t="s">
        <v>522</v>
      </c>
      <c r="N50" s="70" t="s">
        <v>521</v>
      </c>
      <c r="O50" s="74" t="s">
        <v>694</v>
      </c>
      <c r="P50" s="74" t="s">
        <v>694</v>
      </c>
      <c r="Q50" s="74" t="s">
        <v>694</v>
      </c>
      <c r="R50" s="69" t="s">
        <v>18</v>
      </c>
      <c r="S50" s="75"/>
    </row>
    <row r="51" spans="1:19" ht="33" customHeight="1">
      <c r="A51" s="68">
        <f>SUBTOTAL(3,B$4:B51)</f>
        <v>48</v>
      </c>
      <c r="B51" s="69" t="s">
        <v>330</v>
      </c>
      <c r="C51" s="70" t="s">
        <v>11</v>
      </c>
      <c r="D51" s="71" t="s">
        <v>395</v>
      </c>
      <c r="E51" s="79" t="s">
        <v>523</v>
      </c>
      <c r="F51" s="69" t="s">
        <v>141</v>
      </c>
      <c r="G51" s="70" t="s">
        <v>674</v>
      </c>
      <c r="H51" s="69" t="s">
        <v>131</v>
      </c>
      <c r="I51" s="70" t="s">
        <v>138</v>
      </c>
      <c r="J51" s="69">
        <v>2024</v>
      </c>
      <c r="K51" s="72">
        <v>6940</v>
      </c>
      <c r="L51" s="70" t="s">
        <v>132</v>
      </c>
      <c r="M51" s="74" t="s">
        <v>496</v>
      </c>
      <c r="N51" s="74" t="s">
        <v>496</v>
      </c>
      <c r="O51" s="74" t="s">
        <v>496</v>
      </c>
      <c r="P51" s="72" t="s">
        <v>71</v>
      </c>
      <c r="Q51" s="74" t="s">
        <v>694</v>
      </c>
      <c r="R51" s="69" t="s">
        <v>18</v>
      </c>
      <c r="S51" s="75"/>
    </row>
    <row r="52" spans="1:19" ht="33" customHeight="1">
      <c r="A52" s="68">
        <f>SUBTOTAL(3,B$4:B52)</f>
        <v>49</v>
      </c>
      <c r="B52" s="69" t="s">
        <v>332</v>
      </c>
      <c r="C52" s="70" t="s">
        <v>35</v>
      </c>
      <c r="D52" s="71" t="s">
        <v>395</v>
      </c>
      <c r="E52" s="79" t="s">
        <v>523</v>
      </c>
      <c r="F52" s="69" t="s">
        <v>141</v>
      </c>
      <c r="G52" s="70" t="s">
        <v>675</v>
      </c>
      <c r="H52" s="69" t="s">
        <v>137</v>
      </c>
      <c r="I52" s="70" t="s">
        <v>138</v>
      </c>
      <c r="J52" s="69">
        <v>2024</v>
      </c>
      <c r="K52" s="72">
        <v>6940</v>
      </c>
      <c r="L52" s="70" t="s">
        <v>132</v>
      </c>
      <c r="M52" s="74" t="s">
        <v>496</v>
      </c>
      <c r="N52" s="74" t="s">
        <v>496</v>
      </c>
      <c r="O52" s="74" t="s">
        <v>496</v>
      </c>
      <c r="P52" s="72" t="s">
        <v>71</v>
      </c>
      <c r="Q52" s="74" t="s">
        <v>694</v>
      </c>
      <c r="R52" s="69" t="s">
        <v>18</v>
      </c>
      <c r="S52" s="75"/>
    </row>
    <row r="53" spans="1:19" ht="33" customHeight="1">
      <c r="A53" s="68">
        <f>SUBTOTAL(3,B$4:B53)</f>
        <v>50</v>
      </c>
      <c r="B53" s="69" t="s">
        <v>334</v>
      </c>
      <c r="C53" s="70" t="s">
        <v>35</v>
      </c>
      <c r="D53" s="71" t="s">
        <v>395</v>
      </c>
      <c r="E53" s="79" t="s">
        <v>523</v>
      </c>
      <c r="F53" s="69" t="s">
        <v>141</v>
      </c>
      <c r="G53" s="70" t="s">
        <v>676</v>
      </c>
      <c r="H53" s="69" t="s">
        <v>145</v>
      </c>
      <c r="I53" s="70" t="s">
        <v>138</v>
      </c>
      <c r="J53" s="69">
        <v>2024</v>
      </c>
      <c r="K53" s="72">
        <v>6940</v>
      </c>
      <c r="L53" s="70" t="s">
        <v>132</v>
      </c>
      <c r="M53" s="74" t="s">
        <v>496</v>
      </c>
      <c r="N53" s="74" t="s">
        <v>496</v>
      </c>
      <c r="O53" s="74" t="s">
        <v>496</v>
      </c>
      <c r="P53" s="72" t="s">
        <v>71</v>
      </c>
      <c r="Q53" s="74" t="s">
        <v>694</v>
      </c>
      <c r="R53" s="69" t="s">
        <v>18</v>
      </c>
      <c r="S53" s="75"/>
    </row>
    <row r="54" spans="1:19" ht="33" customHeight="1">
      <c r="A54" s="68">
        <f>SUBTOTAL(3,B$4:B54)</f>
        <v>51</v>
      </c>
      <c r="B54" s="69" t="s">
        <v>336</v>
      </c>
      <c r="C54" s="70" t="s">
        <v>11</v>
      </c>
      <c r="D54" s="71" t="s">
        <v>395</v>
      </c>
      <c r="E54" s="79" t="s">
        <v>523</v>
      </c>
      <c r="F54" s="69" t="s">
        <v>141</v>
      </c>
      <c r="G54" s="70" t="s">
        <v>677</v>
      </c>
      <c r="H54" s="69" t="s">
        <v>149</v>
      </c>
      <c r="I54" s="70" t="s">
        <v>138</v>
      </c>
      <c r="J54" s="69">
        <v>2024</v>
      </c>
      <c r="K54" s="72">
        <v>6940</v>
      </c>
      <c r="L54" s="70" t="s">
        <v>132</v>
      </c>
      <c r="M54" s="74" t="s">
        <v>496</v>
      </c>
      <c r="N54" s="74" t="s">
        <v>496</v>
      </c>
      <c r="O54" s="74" t="s">
        <v>496</v>
      </c>
      <c r="P54" s="72" t="s">
        <v>71</v>
      </c>
      <c r="Q54" s="74" t="s">
        <v>694</v>
      </c>
      <c r="R54" s="69" t="s">
        <v>18</v>
      </c>
      <c r="S54" s="75"/>
    </row>
    <row r="55" spans="1:19" ht="33" customHeight="1">
      <c r="A55" s="68">
        <f>SUBTOTAL(3,B$4:B55)</f>
        <v>52</v>
      </c>
      <c r="B55" s="69" t="s">
        <v>325</v>
      </c>
      <c r="C55" s="70" t="s">
        <v>11</v>
      </c>
      <c r="D55" s="71" t="s">
        <v>396</v>
      </c>
      <c r="E55" s="71" t="s">
        <v>100</v>
      </c>
      <c r="F55" s="69" t="s">
        <v>101</v>
      </c>
      <c r="G55" s="70" t="s">
        <v>770</v>
      </c>
      <c r="H55" s="69" t="s">
        <v>102</v>
      </c>
      <c r="I55" s="70" t="s">
        <v>106</v>
      </c>
      <c r="J55" s="69">
        <v>2024</v>
      </c>
      <c r="K55" s="72">
        <v>3850</v>
      </c>
      <c r="L55" s="70" t="s">
        <v>105</v>
      </c>
      <c r="M55" s="70" t="s">
        <v>104</v>
      </c>
      <c r="N55" s="70" t="s">
        <v>103</v>
      </c>
      <c r="O55" s="70">
        <v>269983</v>
      </c>
      <c r="P55" s="72" t="s">
        <v>71</v>
      </c>
      <c r="Q55" s="74" t="s">
        <v>694</v>
      </c>
      <c r="R55" s="69" t="s">
        <v>18</v>
      </c>
      <c r="S55" s="75"/>
    </row>
    <row r="56" spans="1:19" ht="33" customHeight="1">
      <c r="A56" s="68">
        <f>SUBTOTAL(3,B$4:B56)</f>
        <v>53</v>
      </c>
      <c r="B56" s="69" t="s">
        <v>329</v>
      </c>
      <c r="C56" s="70" t="s">
        <v>11</v>
      </c>
      <c r="D56" s="71" t="s">
        <v>397</v>
      </c>
      <c r="E56" s="71" t="s">
        <v>524</v>
      </c>
      <c r="F56" s="69" t="s">
        <v>140</v>
      </c>
      <c r="G56" s="70" t="s">
        <v>127</v>
      </c>
      <c r="H56" s="69" t="s">
        <v>124</v>
      </c>
      <c r="I56" s="70" t="s">
        <v>513</v>
      </c>
      <c r="J56" s="69">
        <v>2019</v>
      </c>
      <c r="K56" s="72">
        <v>7840</v>
      </c>
      <c r="L56" s="70" t="s">
        <v>128</v>
      </c>
      <c r="M56" s="70" t="s">
        <v>135</v>
      </c>
      <c r="N56" s="70" t="s">
        <v>129</v>
      </c>
      <c r="O56" s="70" t="s">
        <v>130</v>
      </c>
      <c r="P56" s="72" t="s">
        <v>71</v>
      </c>
      <c r="Q56" s="74" t="s">
        <v>694</v>
      </c>
      <c r="R56" s="69" t="s">
        <v>18</v>
      </c>
      <c r="S56" s="75"/>
    </row>
    <row r="57" spans="1:19" ht="33" customHeight="1">
      <c r="A57" s="68">
        <f>SUBTOTAL(3,B$4:B57)</f>
        <v>54</v>
      </c>
      <c r="B57" s="69" t="s">
        <v>331</v>
      </c>
      <c r="C57" s="70" t="s">
        <v>35</v>
      </c>
      <c r="D57" s="71" t="s">
        <v>397</v>
      </c>
      <c r="E57" s="71" t="s">
        <v>524</v>
      </c>
      <c r="F57" s="69" t="s">
        <v>140</v>
      </c>
      <c r="G57" s="70" t="s">
        <v>133</v>
      </c>
      <c r="H57" s="69" t="s">
        <v>134</v>
      </c>
      <c r="I57" s="70" t="s">
        <v>513</v>
      </c>
      <c r="J57" s="69">
        <v>2019</v>
      </c>
      <c r="K57" s="72">
        <v>7913</v>
      </c>
      <c r="L57" s="70" t="s">
        <v>128</v>
      </c>
      <c r="M57" s="70" t="s">
        <v>135</v>
      </c>
      <c r="N57" s="70" t="s">
        <v>129</v>
      </c>
      <c r="O57" s="70" t="s">
        <v>136</v>
      </c>
      <c r="P57" s="72" t="s">
        <v>71</v>
      </c>
      <c r="Q57" s="74" t="s">
        <v>694</v>
      </c>
      <c r="R57" s="69" t="s">
        <v>18</v>
      </c>
      <c r="S57" s="75"/>
    </row>
    <row r="58" spans="1:19" ht="33" customHeight="1">
      <c r="A58" s="68">
        <f>SUBTOTAL(3,B$4:B58)</f>
        <v>55</v>
      </c>
      <c r="B58" s="69" t="s">
        <v>333</v>
      </c>
      <c r="C58" s="70" t="s">
        <v>35</v>
      </c>
      <c r="D58" s="71" t="s">
        <v>397</v>
      </c>
      <c r="E58" s="71" t="s">
        <v>524</v>
      </c>
      <c r="F58" s="69" t="s">
        <v>139</v>
      </c>
      <c r="G58" s="70" t="s">
        <v>142</v>
      </c>
      <c r="H58" s="69" t="s">
        <v>143</v>
      </c>
      <c r="I58" s="70" t="s">
        <v>514</v>
      </c>
      <c r="J58" s="69">
        <v>2019</v>
      </c>
      <c r="K58" s="72">
        <v>7979</v>
      </c>
      <c r="L58" s="70" t="s">
        <v>128</v>
      </c>
      <c r="M58" s="70" t="s">
        <v>135</v>
      </c>
      <c r="N58" s="70" t="s">
        <v>129</v>
      </c>
      <c r="O58" s="70" t="s">
        <v>144</v>
      </c>
      <c r="P58" s="72" t="s">
        <v>71</v>
      </c>
      <c r="Q58" s="74" t="s">
        <v>694</v>
      </c>
      <c r="R58" s="69" t="s">
        <v>18</v>
      </c>
      <c r="S58" s="75"/>
    </row>
    <row r="59" spans="1:19" ht="33" customHeight="1">
      <c r="A59" s="68">
        <f>SUBTOTAL(3,B$4:B59)</f>
        <v>56</v>
      </c>
      <c r="B59" s="69" t="s">
        <v>335</v>
      </c>
      <c r="C59" s="70" t="s">
        <v>11</v>
      </c>
      <c r="D59" s="71" t="s">
        <v>397</v>
      </c>
      <c r="E59" s="71" t="s">
        <v>524</v>
      </c>
      <c r="F59" s="69" t="s">
        <v>140</v>
      </c>
      <c r="G59" s="70" t="s">
        <v>146</v>
      </c>
      <c r="H59" s="69" t="s">
        <v>147</v>
      </c>
      <c r="I59" s="70" t="s">
        <v>513</v>
      </c>
      <c r="J59" s="69">
        <v>2019</v>
      </c>
      <c r="K59" s="72">
        <v>7840</v>
      </c>
      <c r="L59" s="70" t="s">
        <v>128</v>
      </c>
      <c r="M59" s="70" t="s">
        <v>135</v>
      </c>
      <c r="N59" s="70" t="s">
        <v>129</v>
      </c>
      <c r="O59" s="70" t="s">
        <v>148</v>
      </c>
      <c r="P59" s="72" t="s">
        <v>71</v>
      </c>
      <c r="Q59" s="74" t="s">
        <v>694</v>
      </c>
      <c r="R59" s="69" t="s">
        <v>18</v>
      </c>
      <c r="S59" s="75"/>
    </row>
    <row r="60" spans="1:19" ht="33" customHeight="1">
      <c r="A60" s="68">
        <f>SUBTOTAL(3,B$4:B60)</f>
        <v>57</v>
      </c>
      <c r="B60" s="69" t="s">
        <v>324</v>
      </c>
      <c r="C60" s="70" t="s">
        <v>35</v>
      </c>
      <c r="D60" s="71" t="s">
        <v>398</v>
      </c>
      <c r="E60" s="71" t="s">
        <v>162</v>
      </c>
      <c r="F60" s="69" t="s">
        <v>161</v>
      </c>
      <c r="G60" s="70" t="s">
        <v>160</v>
      </c>
      <c r="H60" s="69" t="s">
        <v>159</v>
      </c>
      <c r="I60" s="70" t="s">
        <v>163</v>
      </c>
      <c r="J60" s="69">
        <v>2025</v>
      </c>
      <c r="K60" s="72">
        <v>4400</v>
      </c>
      <c r="L60" s="70" t="s">
        <v>164</v>
      </c>
      <c r="M60" s="70" t="s">
        <v>165</v>
      </c>
      <c r="N60" s="70" t="s">
        <v>166</v>
      </c>
      <c r="O60" s="70" t="s">
        <v>167</v>
      </c>
      <c r="P60" s="72" t="s">
        <v>82</v>
      </c>
      <c r="Q60" s="74" t="s">
        <v>694</v>
      </c>
      <c r="R60" s="69" t="s">
        <v>18</v>
      </c>
      <c r="S60" s="75"/>
    </row>
    <row r="61" spans="1:19" ht="33" customHeight="1">
      <c r="A61" s="68">
        <f>SUBTOTAL(3,B$4:B61)</f>
        <v>58</v>
      </c>
      <c r="B61" s="69" t="s">
        <v>328</v>
      </c>
      <c r="C61" s="70" t="s">
        <v>11</v>
      </c>
      <c r="D61" s="71" t="s">
        <v>399</v>
      </c>
      <c r="E61" s="71" t="s">
        <v>116</v>
      </c>
      <c r="F61" s="80" t="s">
        <v>867</v>
      </c>
      <c r="G61" s="70" t="s">
        <v>114</v>
      </c>
      <c r="H61" s="69" t="s">
        <v>115</v>
      </c>
      <c r="I61" s="70" t="s">
        <v>120</v>
      </c>
      <c r="J61" s="69">
        <v>2025</v>
      </c>
      <c r="K61" s="72">
        <v>14225</v>
      </c>
      <c r="L61" s="70" t="s">
        <v>121</v>
      </c>
      <c r="M61" s="70" t="s">
        <v>118</v>
      </c>
      <c r="N61" s="70" t="s">
        <v>119</v>
      </c>
      <c r="O61" s="70">
        <v>86152218</v>
      </c>
      <c r="P61" s="72" t="s">
        <v>71</v>
      </c>
      <c r="Q61" s="74" t="s">
        <v>694</v>
      </c>
      <c r="R61" s="69" t="s">
        <v>18</v>
      </c>
      <c r="S61" s="75"/>
    </row>
    <row r="62" spans="1:19" ht="33" customHeight="1">
      <c r="A62" s="68">
        <f>SUBTOTAL(3,B$4:B62)</f>
        <v>59</v>
      </c>
      <c r="B62" s="69" t="s">
        <v>327</v>
      </c>
      <c r="C62" s="70" t="s">
        <v>35</v>
      </c>
      <c r="D62" s="71" t="s">
        <v>399</v>
      </c>
      <c r="E62" s="71" t="s">
        <v>116</v>
      </c>
      <c r="F62" s="81" t="s">
        <v>868</v>
      </c>
      <c r="G62" s="70" t="s">
        <v>122</v>
      </c>
      <c r="H62" s="69" t="s">
        <v>123</v>
      </c>
      <c r="I62" s="70" t="s">
        <v>726</v>
      </c>
      <c r="J62" s="69">
        <v>2025</v>
      </c>
      <c r="K62" s="72">
        <v>14225</v>
      </c>
      <c r="L62" s="70" t="s">
        <v>121</v>
      </c>
      <c r="M62" s="70" t="s">
        <v>118</v>
      </c>
      <c r="N62" s="70" t="s">
        <v>119</v>
      </c>
      <c r="O62" s="70">
        <v>86151555</v>
      </c>
      <c r="P62" s="72" t="s">
        <v>71</v>
      </c>
      <c r="Q62" s="74" t="s">
        <v>694</v>
      </c>
      <c r="R62" s="69" t="s">
        <v>18</v>
      </c>
      <c r="S62" s="75"/>
    </row>
    <row r="63" spans="1:19" ht="33" customHeight="1">
      <c r="A63" s="68">
        <f>SUBTOTAL(3,B$4:B63)</f>
        <v>60</v>
      </c>
      <c r="B63" s="69" t="s">
        <v>150</v>
      </c>
      <c r="C63" s="70" t="s">
        <v>11</v>
      </c>
      <c r="D63" s="71" t="s">
        <v>400</v>
      </c>
      <c r="E63" s="71" t="s">
        <v>615</v>
      </c>
      <c r="F63" s="69" t="s">
        <v>12</v>
      </c>
      <c r="G63" s="70" t="s">
        <v>19</v>
      </c>
      <c r="H63" s="69" t="s">
        <v>13</v>
      </c>
      <c r="I63" s="70" t="s">
        <v>515</v>
      </c>
      <c r="J63" s="69">
        <v>2022</v>
      </c>
      <c r="K63" s="72">
        <v>28000</v>
      </c>
      <c r="L63" s="70" t="s">
        <v>16</v>
      </c>
      <c r="M63" s="70" t="s">
        <v>15</v>
      </c>
      <c r="N63" s="70" t="s">
        <v>17</v>
      </c>
      <c r="O63" s="72">
        <v>82390983</v>
      </c>
      <c r="P63" s="72" t="s">
        <v>22</v>
      </c>
      <c r="Q63" s="74" t="s">
        <v>694</v>
      </c>
      <c r="R63" s="69" t="s">
        <v>18</v>
      </c>
      <c r="S63" s="75"/>
    </row>
    <row r="64" spans="1:19" ht="33" customHeight="1">
      <c r="A64" s="68">
        <f>SUBTOTAL(3,B$4:B64)</f>
        <v>61</v>
      </c>
      <c r="B64" s="69" t="s">
        <v>151</v>
      </c>
      <c r="C64" s="70" t="s">
        <v>11</v>
      </c>
      <c r="D64" s="71" t="s">
        <v>400</v>
      </c>
      <c r="E64" s="71" t="s">
        <v>615</v>
      </c>
      <c r="F64" s="69" t="s">
        <v>12</v>
      </c>
      <c r="G64" s="70" t="s">
        <v>21</v>
      </c>
      <c r="H64" s="69" t="s">
        <v>20</v>
      </c>
      <c r="I64" s="70" t="s">
        <v>515</v>
      </c>
      <c r="J64" s="69">
        <v>2022</v>
      </c>
      <c r="K64" s="72">
        <v>28000</v>
      </c>
      <c r="L64" s="70" t="s">
        <v>16</v>
      </c>
      <c r="M64" s="70" t="s">
        <v>15</v>
      </c>
      <c r="N64" s="70" t="s">
        <v>17</v>
      </c>
      <c r="O64" s="72">
        <v>82390986</v>
      </c>
      <c r="P64" s="72" t="s">
        <v>22</v>
      </c>
      <c r="Q64" s="74" t="s">
        <v>694</v>
      </c>
      <c r="R64" s="69" t="s">
        <v>18</v>
      </c>
      <c r="S64" s="75"/>
    </row>
    <row r="65" spans="1:19" ht="33" customHeight="1">
      <c r="A65" s="68">
        <f>SUBTOTAL(3,B$4:B65)</f>
        <v>62</v>
      </c>
      <c r="B65" s="69" t="s">
        <v>152</v>
      </c>
      <c r="C65" s="70" t="s">
        <v>11</v>
      </c>
      <c r="D65" s="71" t="s">
        <v>400</v>
      </c>
      <c r="E65" s="71" t="s">
        <v>615</v>
      </c>
      <c r="F65" s="69" t="s">
        <v>25</v>
      </c>
      <c r="G65" s="70" t="s">
        <v>24</v>
      </c>
      <c r="H65" s="69" t="s">
        <v>23</v>
      </c>
      <c r="I65" s="70" t="s">
        <v>516</v>
      </c>
      <c r="J65" s="69">
        <v>2021</v>
      </c>
      <c r="K65" s="72">
        <v>44900</v>
      </c>
      <c r="L65" s="70" t="s">
        <v>26</v>
      </c>
      <c r="M65" s="70" t="s">
        <v>27</v>
      </c>
      <c r="N65" s="70" t="s">
        <v>28</v>
      </c>
      <c r="O65" s="72">
        <v>82132699</v>
      </c>
      <c r="P65" s="72" t="s">
        <v>22</v>
      </c>
      <c r="Q65" s="74" t="s">
        <v>694</v>
      </c>
      <c r="R65" s="69" t="s">
        <v>18</v>
      </c>
      <c r="S65" s="75"/>
    </row>
    <row r="66" spans="1:19" ht="33" customHeight="1">
      <c r="A66" s="68">
        <f>SUBTOTAL(3,B$4:B66)</f>
        <v>63</v>
      </c>
      <c r="B66" s="69" t="s">
        <v>404</v>
      </c>
      <c r="C66" s="70" t="s">
        <v>11</v>
      </c>
      <c r="D66" s="76" t="s">
        <v>458</v>
      </c>
      <c r="E66" s="71" t="s">
        <v>416</v>
      </c>
      <c r="F66" s="69" t="s">
        <v>449</v>
      </c>
      <c r="G66" s="82">
        <v>1747</v>
      </c>
      <c r="H66" s="69">
        <v>1747</v>
      </c>
      <c r="I66" s="70" t="s">
        <v>487</v>
      </c>
      <c r="J66" s="69" t="s">
        <v>694</v>
      </c>
      <c r="K66" s="72">
        <v>1570</v>
      </c>
      <c r="L66" s="70" t="s">
        <v>527</v>
      </c>
      <c r="M66" s="70" t="s">
        <v>526</v>
      </c>
      <c r="N66" s="70" t="s">
        <v>525</v>
      </c>
      <c r="O66" s="69" t="s">
        <v>694</v>
      </c>
      <c r="P66" s="69" t="s">
        <v>694</v>
      </c>
      <c r="Q66" s="69" t="s">
        <v>694</v>
      </c>
      <c r="R66" s="69" t="s">
        <v>18</v>
      </c>
      <c r="S66" s="75"/>
    </row>
    <row r="67" spans="1:19" ht="33" customHeight="1">
      <c r="A67" s="68">
        <f>SUBTOTAL(3,B$4:B67)</f>
        <v>64</v>
      </c>
      <c r="B67" s="69" t="s">
        <v>405</v>
      </c>
      <c r="C67" s="70" t="s">
        <v>11</v>
      </c>
      <c r="D67" s="76" t="s">
        <v>458</v>
      </c>
      <c r="E67" s="71" t="s">
        <v>416</v>
      </c>
      <c r="F67" s="69" t="s">
        <v>449</v>
      </c>
      <c r="G67" s="82">
        <v>1685</v>
      </c>
      <c r="H67" s="69">
        <v>1685</v>
      </c>
      <c r="I67" s="70" t="s">
        <v>487</v>
      </c>
      <c r="J67" s="69" t="s">
        <v>694</v>
      </c>
      <c r="K67" s="72">
        <v>1570</v>
      </c>
      <c r="L67" s="70" t="s">
        <v>527</v>
      </c>
      <c r="M67" s="70" t="s">
        <v>526</v>
      </c>
      <c r="N67" s="70" t="s">
        <v>525</v>
      </c>
      <c r="O67" s="69" t="s">
        <v>694</v>
      </c>
      <c r="P67" s="69" t="s">
        <v>694</v>
      </c>
      <c r="Q67" s="69" t="s">
        <v>694</v>
      </c>
      <c r="R67" s="69" t="s">
        <v>18</v>
      </c>
      <c r="S67" s="75"/>
    </row>
    <row r="68" spans="1:19" ht="33" customHeight="1">
      <c r="A68" s="68">
        <f>SUBTOTAL(3,B$4:B68)</f>
        <v>65</v>
      </c>
      <c r="B68" s="69" t="s">
        <v>406</v>
      </c>
      <c r="C68" s="70" t="s">
        <v>35</v>
      </c>
      <c r="D68" s="76" t="s">
        <v>458</v>
      </c>
      <c r="E68" s="71" t="s">
        <v>416</v>
      </c>
      <c r="F68" s="69" t="s">
        <v>449</v>
      </c>
      <c r="G68" s="82">
        <v>1500</v>
      </c>
      <c r="H68" s="69">
        <v>1500</v>
      </c>
      <c r="I68" s="70" t="s">
        <v>487</v>
      </c>
      <c r="J68" s="69">
        <v>2020</v>
      </c>
      <c r="K68" s="72">
        <v>1570</v>
      </c>
      <c r="L68" s="70" t="s">
        <v>527</v>
      </c>
      <c r="M68" s="70" t="s">
        <v>526</v>
      </c>
      <c r="N68" s="70" t="s">
        <v>525</v>
      </c>
      <c r="O68" s="69" t="s">
        <v>694</v>
      </c>
      <c r="P68" s="69" t="s">
        <v>694</v>
      </c>
      <c r="Q68" s="69" t="s">
        <v>694</v>
      </c>
      <c r="R68" s="69" t="s">
        <v>18</v>
      </c>
      <c r="S68" s="75"/>
    </row>
    <row r="69" spans="1:19" ht="33" customHeight="1">
      <c r="A69" s="68">
        <f>SUBTOTAL(3,B$4:B69)</f>
        <v>66</v>
      </c>
      <c r="B69" s="69" t="s">
        <v>407</v>
      </c>
      <c r="C69" s="70" t="s">
        <v>35</v>
      </c>
      <c r="D69" s="76" t="s">
        <v>458</v>
      </c>
      <c r="E69" s="71" t="s">
        <v>416</v>
      </c>
      <c r="F69" s="69" t="s">
        <v>869</v>
      </c>
      <c r="G69" s="69">
        <v>201226</v>
      </c>
      <c r="H69" s="69">
        <v>201226</v>
      </c>
      <c r="I69" s="70" t="s">
        <v>487</v>
      </c>
      <c r="J69" s="69" t="s">
        <v>694</v>
      </c>
      <c r="K69" s="72">
        <v>1800</v>
      </c>
      <c r="L69" s="70" t="s">
        <v>724</v>
      </c>
      <c r="M69" s="70" t="s">
        <v>526</v>
      </c>
      <c r="N69" s="70" t="s">
        <v>525</v>
      </c>
      <c r="O69" s="69" t="s">
        <v>725</v>
      </c>
      <c r="P69" s="69" t="s">
        <v>694</v>
      </c>
      <c r="Q69" s="69" t="s">
        <v>694</v>
      </c>
      <c r="R69" s="69" t="s">
        <v>18</v>
      </c>
      <c r="S69" s="75"/>
    </row>
    <row r="70" spans="1:19" ht="33" customHeight="1">
      <c r="A70" s="68">
        <f>SUBTOTAL(3,B$4:B70)</f>
        <v>67</v>
      </c>
      <c r="B70" s="69" t="s">
        <v>408</v>
      </c>
      <c r="C70" s="70" t="s">
        <v>35</v>
      </c>
      <c r="D70" s="76" t="s">
        <v>458</v>
      </c>
      <c r="E70" s="71" t="s">
        <v>416</v>
      </c>
      <c r="F70" s="69" t="s">
        <v>448</v>
      </c>
      <c r="G70" s="69" t="s">
        <v>727</v>
      </c>
      <c r="H70" s="69" t="s">
        <v>727</v>
      </c>
      <c r="I70" s="70" t="s">
        <v>517</v>
      </c>
      <c r="J70" s="69" t="s">
        <v>694</v>
      </c>
      <c r="K70" s="72">
        <v>1700</v>
      </c>
      <c r="L70" s="70" t="s">
        <v>518</v>
      </c>
      <c r="M70" s="70" t="s">
        <v>60</v>
      </c>
      <c r="N70" s="70" t="s">
        <v>519</v>
      </c>
      <c r="O70" s="69" t="s">
        <v>694</v>
      </c>
      <c r="P70" s="69" t="s">
        <v>694</v>
      </c>
      <c r="Q70" s="69" t="s">
        <v>694</v>
      </c>
      <c r="R70" s="69" t="s">
        <v>18</v>
      </c>
      <c r="S70" s="75"/>
    </row>
    <row r="71" spans="1:19" ht="33" customHeight="1">
      <c r="A71" s="68">
        <f>SUBTOTAL(3,B$4:B71)</f>
        <v>68</v>
      </c>
      <c r="B71" s="69" t="s">
        <v>409</v>
      </c>
      <c r="C71" s="70" t="s">
        <v>35</v>
      </c>
      <c r="D71" s="76" t="s">
        <v>458</v>
      </c>
      <c r="E71" s="71" t="s">
        <v>416</v>
      </c>
      <c r="F71" s="69" t="s">
        <v>448</v>
      </c>
      <c r="G71" s="72" t="s">
        <v>453</v>
      </c>
      <c r="H71" s="69" t="s">
        <v>453</v>
      </c>
      <c r="I71" s="70" t="s">
        <v>517</v>
      </c>
      <c r="J71" s="69" t="s">
        <v>694</v>
      </c>
      <c r="K71" s="72">
        <v>1700</v>
      </c>
      <c r="L71" s="70" t="s">
        <v>518</v>
      </c>
      <c r="M71" s="70" t="s">
        <v>60</v>
      </c>
      <c r="N71" s="70" t="s">
        <v>519</v>
      </c>
      <c r="O71" s="69" t="s">
        <v>694</v>
      </c>
      <c r="P71" s="69" t="s">
        <v>694</v>
      </c>
      <c r="Q71" s="69" t="s">
        <v>694</v>
      </c>
      <c r="R71" s="69" t="s">
        <v>18</v>
      </c>
      <c r="S71" s="75"/>
    </row>
    <row r="72" spans="1:19" ht="33" customHeight="1">
      <c r="A72" s="68">
        <f>SUBTOTAL(3,B$4:B72)</f>
        <v>69</v>
      </c>
      <c r="B72" s="69" t="s">
        <v>410</v>
      </c>
      <c r="C72" s="70" t="s">
        <v>11</v>
      </c>
      <c r="D72" s="76" t="s">
        <v>458</v>
      </c>
      <c r="E72" s="71" t="s">
        <v>416</v>
      </c>
      <c r="F72" s="69" t="s">
        <v>448</v>
      </c>
      <c r="G72" s="72" t="s">
        <v>454</v>
      </c>
      <c r="H72" s="69" t="s">
        <v>454</v>
      </c>
      <c r="I72" s="70" t="s">
        <v>517</v>
      </c>
      <c r="J72" s="69" t="s">
        <v>694</v>
      </c>
      <c r="K72" s="72">
        <v>1700</v>
      </c>
      <c r="L72" s="70" t="s">
        <v>518</v>
      </c>
      <c r="M72" s="70" t="s">
        <v>60</v>
      </c>
      <c r="N72" s="70" t="s">
        <v>519</v>
      </c>
      <c r="O72" s="69" t="s">
        <v>694</v>
      </c>
      <c r="P72" s="69" t="s">
        <v>694</v>
      </c>
      <c r="Q72" s="69" t="s">
        <v>694</v>
      </c>
      <c r="R72" s="69" t="s">
        <v>18</v>
      </c>
      <c r="S72" s="75"/>
    </row>
    <row r="73" spans="1:19" ht="33" customHeight="1">
      <c r="A73" s="68">
        <f>SUBTOTAL(3,B$4:B73)</f>
        <v>70</v>
      </c>
      <c r="B73" s="69" t="s">
        <v>411</v>
      </c>
      <c r="C73" s="70" t="s">
        <v>35</v>
      </c>
      <c r="D73" s="76" t="s">
        <v>458</v>
      </c>
      <c r="E73" s="71" t="s">
        <v>416</v>
      </c>
      <c r="F73" s="69" t="s">
        <v>450</v>
      </c>
      <c r="G73" s="72" t="s">
        <v>477</v>
      </c>
      <c r="H73" s="69" t="s">
        <v>477</v>
      </c>
      <c r="I73" s="70" t="s">
        <v>531</v>
      </c>
      <c r="J73" s="69" t="s">
        <v>694</v>
      </c>
      <c r="K73" s="72">
        <v>750</v>
      </c>
      <c r="L73" s="70" t="s">
        <v>530</v>
      </c>
      <c r="M73" s="70" t="s">
        <v>529</v>
      </c>
      <c r="N73" s="70" t="s">
        <v>528</v>
      </c>
      <c r="O73" s="69" t="s">
        <v>694</v>
      </c>
      <c r="P73" s="69" t="s">
        <v>694</v>
      </c>
      <c r="Q73" s="69" t="s">
        <v>694</v>
      </c>
      <c r="R73" s="69" t="s">
        <v>18</v>
      </c>
      <c r="S73" s="75"/>
    </row>
    <row r="74" spans="1:19" ht="33" customHeight="1">
      <c r="A74" s="68">
        <f>SUBTOTAL(3,B$4:B74)</f>
        <v>71</v>
      </c>
      <c r="B74" s="69" t="s">
        <v>412</v>
      </c>
      <c r="C74" s="70" t="s">
        <v>35</v>
      </c>
      <c r="D74" s="76" t="s">
        <v>458</v>
      </c>
      <c r="E74" s="71" t="s">
        <v>416</v>
      </c>
      <c r="F74" s="69" t="s">
        <v>450</v>
      </c>
      <c r="G74" s="72" t="s">
        <v>478</v>
      </c>
      <c r="H74" s="69" t="s">
        <v>478</v>
      </c>
      <c r="I74" s="70" t="s">
        <v>531</v>
      </c>
      <c r="J74" s="69" t="s">
        <v>694</v>
      </c>
      <c r="K74" s="72">
        <v>750</v>
      </c>
      <c r="L74" s="70" t="s">
        <v>530</v>
      </c>
      <c r="M74" s="70" t="s">
        <v>529</v>
      </c>
      <c r="N74" s="70" t="s">
        <v>528</v>
      </c>
      <c r="O74" s="69" t="s">
        <v>694</v>
      </c>
      <c r="P74" s="69" t="s">
        <v>694</v>
      </c>
      <c r="Q74" s="69" t="s">
        <v>694</v>
      </c>
      <c r="R74" s="69" t="s">
        <v>18</v>
      </c>
      <c r="S74" s="75"/>
    </row>
    <row r="75" spans="1:19" ht="33" customHeight="1">
      <c r="A75" s="68">
        <f>SUBTOTAL(3,B$4:B75)</f>
        <v>72</v>
      </c>
      <c r="B75" s="69" t="s">
        <v>413</v>
      </c>
      <c r="C75" s="70" t="s">
        <v>11</v>
      </c>
      <c r="D75" s="76" t="s">
        <v>458</v>
      </c>
      <c r="E75" s="71" t="s">
        <v>416</v>
      </c>
      <c r="F75" s="69" t="s">
        <v>447</v>
      </c>
      <c r="G75" s="72" t="s">
        <v>456</v>
      </c>
      <c r="H75" s="69" t="s">
        <v>456</v>
      </c>
      <c r="I75" s="70" t="s">
        <v>517</v>
      </c>
      <c r="J75" s="69" t="s">
        <v>694</v>
      </c>
      <c r="K75" s="72">
        <v>680</v>
      </c>
      <c r="L75" s="70" t="s">
        <v>533</v>
      </c>
      <c r="M75" s="70" t="s">
        <v>532</v>
      </c>
      <c r="N75" s="70" t="s">
        <v>534</v>
      </c>
      <c r="O75" s="69" t="s">
        <v>694</v>
      </c>
      <c r="P75" s="69" t="s">
        <v>694</v>
      </c>
      <c r="Q75" s="69" t="s">
        <v>694</v>
      </c>
      <c r="R75" s="69" t="s">
        <v>18</v>
      </c>
      <c r="S75" s="75"/>
    </row>
    <row r="76" spans="1:19" ht="33" customHeight="1">
      <c r="A76" s="68">
        <f>SUBTOTAL(3,B$4:B76)</f>
        <v>73</v>
      </c>
      <c r="B76" s="69" t="s">
        <v>414</v>
      </c>
      <c r="C76" s="70" t="s">
        <v>35</v>
      </c>
      <c r="D76" s="76" t="s">
        <v>458</v>
      </c>
      <c r="E76" s="71" t="s">
        <v>416</v>
      </c>
      <c r="F76" s="69" t="s">
        <v>452</v>
      </c>
      <c r="G76" s="72" t="s">
        <v>479</v>
      </c>
      <c r="H76" s="69" t="s">
        <v>479</v>
      </c>
      <c r="I76" s="70" t="s">
        <v>517</v>
      </c>
      <c r="J76" s="69" t="s">
        <v>694</v>
      </c>
      <c r="K76" s="72">
        <v>1830</v>
      </c>
      <c r="L76" s="70" t="s">
        <v>536</v>
      </c>
      <c r="M76" s="70" t="s">
        <v>60</v>
      </c>
      <c r="N76" s="70" t="s">
        <v>535</v>
      </c>
      <c r="O76" s="69" t="s">
        <v>694</v>
      </c>
      <c r="P76" s="69" t="s">
        <v>694</v>
      </c>
      <c r="Q76" s="69" t="s">
        <v>694</v>
      </c>
      <c r="R76" s="69" t="s">
        <v>18</v>
      </c>
      <c r="S76" s="75"/>
    </row>
    <row r="77" spans="1:19" ht="33" customHeight="1">
      <c r="A77" s="68">
        <f>SUBTOTAL(3,B$4:B77)</f>
        <v>74</v>
      </c>
      <c r="B77" s="69" t="s">
        <v>415</v>
      </c>
      <c r="C77" s="70" t="s">
        <v>35</v>
      </c>
      <c r="D77" s="76" t="s">
        <v>458</v>
      </c>
      <c r="E77" s="71" t="s">
        <v>416</v>
      </c>
      <c r="F77" s="69" t="s">
        <v>451</v>
      </c>
      <c r="G77" s="72" t="s">
        <v>748</v>
      </c>
      <c r="H77" s="69" t="s">
        <v>748</v>
      </c>
      <c r="I77" s="70" t="s">
        <v>517</v>
      </c>
      <c r="J77" s="69" t="s">
        <v>694</v>
      </c>
      <c r="K77" s="72">
        <v>1600</v>
      </c>
      <c r="L77" s="70" t="s">
        <v>538</v>
      </c>
      <c r="M77" s="70" t="s">
        <v>537</v>
      </c>
      <c r="N77" s="70" t="s">
        <v>534</v>
      </c>
      <c r="O77" s="69" t="s">
        <v>694</v>
      </c>
      <c r="P77" s="69" t="s">
        <v>694</v>
      </c>
      <c r="Q77" s="69" t="s">
        <v>694</v>
      </c>
      <c r="R77" s="69" t="s">
        <v>18</v>
      </c>
      <c r="S77" s="75"/>
    </row>
    <row r="78" spans="1:19" ht="33" customHeight="1">
      <c r="A78" s="68">
        <f>SUBTOTAL(3,B$4:B78)</f>
        <v>75</v>
      </c>
      <c r="B78" s="69" t="s">
        <v>728</v>
      </c>
      <c r="C78" s="70" t="s">
        <v>11</v>
      </c>
      <c r="D78" s="76" t="s">
        <v>458</v>
      </c>
      <c r="E78" s="71" t="s">
        <v>416</v>
      </c>
      <c r="F78" s="69" t="s">
        <v>731</v>
      </c>
      <c r="G78" s="72" t="s">
        <v>732</v>
      </c>
      <c r="H78" s="69" t="s">
        <v>732</v>
      </c>
      <c r="I78" s="70" t="s">
        <v>517</v>
      </c>
      <c r="J78" s="69">
        <v>2026</v>
      </c>
      <c r="K78" s="72">
        <v>2500</v>
      </c>
      <c r="L78" s="70" t="s">
        <v>734</v>
      </c>
      <c r="M78" s="70" t="s">
        <v>735</v>
      </c>
      <c r="N78" s="70" t="s">
        <v>736</v>
      </c>
      <c r="O78" s="69"/>
      <c r="P78" s="69" t="s">
        <v>694</v>
      </c>
      <c r="Q78" s="69" t="s">
        <v>694</v>
      </c>
      <c r="R78" s="69" t="s">
        <v>18</v>
      </c>
      <c r="S78" s="75"/>
    </row>
    <row r="79" spans="1:19" ht="33" customHeight="1">
      <c r="A79" s="68">
        <f>SUBTOTAL(3,B$4:B79)</f>
        <v>76</v>
      </c>
      <c r="B79" s="69" t="s">
        <v>729</v>
      </c>
      <c r="C79" s="70" t="s">
        <v>11</v>
      </c>
      <c r="D79" s="76" t="s">
        <v>458</v>
      </c>
      <c r="E79" s="71" t="s">
        <v>416</v>
      </c>
      <c r="F79" s="69" t="s">
        <v>731</v>
      </c>
      <c r="G79" s="72" t="s">
        <v>733</v>
      </c>
      <c r="H79" s="69" t="s">
        <v>733</v>
      </c>
      <c r="I79" s="70" t="s">
        <v>517</v>
      </c>
      <c r="J79" s="69">
        <v>2026</v>
      </c>
      <c r="K79" s="72">
        <v>2500</v>
      </c>
      <c r="L79" s="70" t="s">
        <v>734</v>
      </c>
      <c r="M79" s="70" t="s">
        <v>735</v>
      </c>
      <c r="N79" s="70" t="s">
        <v>736</v>
      </c>
      <c r="O79" s="69"/>
      <c r="P79" s="69" t="s">
        <v>694</v>
      </c>
      <c r="Q79" s="69" t="s">
        <v>694</v>
      </c>
      <c r="R79" s="69" t="s">
        <v>18</v>
      </c>
      <c r="S79" s="75"/>
    </row>
    <row r="80" spans="1:19" ht="33" customHeight="1">
      <c r="A80" s="68">
        <f>SUBTOTAL(3,B$4:B80)</f>
        <v>77</v>
      </c>
      <c r="B80" s="69" t="s">
        <v>730</v>
      </c>
      <c r="C80" s="70" t="s">
        <v>35</v>
      </c>
      <c r="D80" s="76" t="s">
        <v>458</v>
      </c>
      <c r="E80" s="71" t="s">
        <v>416</v>
      </c>
      <c r="F80" s="69" t="s">
        <v>731</v>
      </c>
      <c r="G80" s="72" t="s">
        <v>737</v>
      </c>
      <c r="H80" s="72" t="s">
        <v>737</v>
      </c>
      <c r="I80" s="70" t="s">
        <v>517</v>
      </c>
      <c r="J80" s="69">
        <v>2026</v>
      </c>
      <c r="K80" s="72">
        <v>2500</v>
      </c>
      <c r="L80" s="70" t="s">
        <v>734</v>
      </c>
      <c r="M80" s="70" t="s">
        <v>735</v>
      </c>
      <c r="N80" s="70" t="s">
        <v>736</v>
      </c>
      <c r="O80" s="69">
        <v>93593325</v>
      </c>
      <c r="P80" s="69" t="s">
        <v>694</v>
      </c>
      <c r="Q80" s="69" t="s">
        <v>694</v>
      </c>
      <c r="R80" s="69" t="s">
        <v>18</v>
      </c>
      <c r="S80" s="75"/>
    </row>
    <row r="81" spans="1:19" ht="33" customHeight="1">
      <c r="A81" s="68">
        <f>SUBTOTAL(3,B$4:B81)</f>
        <v>78</v>
      </c>
      <c r="B81" s="69" t="s">
        <v>820</v>
      </c>
      <c r="C81" s="70" t="s">
        <v>35</v>
      </c>
      <c r="D81" s="76" t="s">
        <v>458</v>
      </c>
      <c r="E81" s="71" t="s">
        <v>416</v>
      </c>
      <c r="F81" s="69" t="s">
        <v>823</v>
      </c>
      <c r="G81" s="72" t="s">
        <v>825</v>
      </c>
      <c r="H81" s="72" t="s">
        <v>825</v>
      </c>
      <c r="I81" s="70" t="s">
        <v>517</v>
      </c>
      <c r="J81" s="69">
        <v>2026</v>
      </c>
      <c r="K81" s="72">
        <v>1700</v>
      </c>
      <c r="L81" s="70" t="s">
        <v>824</v>
      </c>
      <c r="M81" s="70" t="s">
        <v>60</v>
      </c>
      <c r="N81" s="70" t="s">
        <v>826</v>
      </c>
      <c r="O81" s="69">
        <v>93651786</v>
      </c>
      <c r="P81" s="69" t="s">
        <v>694</v>
      </c>
      <c r="Q81" s="74">
        <v>46226</v>
      </c>
      <c r="R81" s="69" t="s">
        <v>18</v>
      </c>
      <c r="S81" s="75"/>
    </row>
    <row r="82" spans="1:19" ht="33" customHeight="1">
      <c r="A82" s="68">
        <f>SUBTOTAL(3,B$4:B82)</f>
        <v>79</v>
      </c>
      <c r="B82" s="69" t="s">
        <v>821</v>
      </c>
      <c r="C82" s="70" t="s">
        <v>35</v>
      </c>
      <c r="D82" s="76" t="s">
        <v>458</v>
      </c>
      <c r="E82" s="71" t="s">
        <v>416</v>
      </c>
      <c r="F82" s="69" t="s">
        <v>823</v>
      </c>
      <c r="G82" s="72" t="s">
        <v>822</v>
      </c>
      <c r="H82" s="72" t="s">
        <v>822</v>
      </c>
      <c r="I82" s="70" t="s">
        <v>517</v>
      </c>
      <c r="J82" s="69">
        <v>2026</v>
      </c>
      <c r="K82" s="72">
        <v>1700</v>
      </c>
      <c r="L82" s="70" t="s">
        <v>824</v>
      </c>
      <c r="M82" s="70" t="s">
        <v>60</v>
      </c>
      <c r="N82" s="70" t="s">
        <v>826</v>
      </c>
      <c r="O82" s="69">
        <v>93653449</v>
      </c>
      <c r="P82" s="69" t="s">
        <v>694</v>
      </c>
      <c r="Q82" s="74">
        <v>46226</v>
      </c>
      <c r="R82" s="69" t="s">
        <v>18</v>
      </c>
      <c r="S82" s="75"/>
    </row>
    <row r="83" spans="1:19" ht="33" customHeight="1">
      <c r="A83" s="68">
        <f>SUBTOTAL(3,B$4:B83)</f>
        <v>80</v>
      </c>
      <c r="B83" s="69" t="s">
        <v>419</v>
      </c>
      <c r="C83" s="70" t="s">
        <v>11</v>
      </c>
      <c r="D83" s="76" t="s">
        <v>460</v>
      </c>
      <c r="E83" s="71" t="s">
        <v>418</v>
      </c>
      <c r="F83" s="69" t="s">
        <v>417</v>
      </c>
      <c r="G83" s="72" t="s">
        <v>437</v>
      </c>
      <c r="H83" s="69" t="s">
        <v>437</v>
      </c>
      <c r="I83" s="70" t="s">
        <v>540</v>
      </c>
      <c r="J83" s="69" t="s">
        <v>694</v>
      </c>
      <c r="K83" s="72">
        <v>694</v>
      </c>
      <c r="L83" s="70" t="s">
        <v>539</v>
      </c>
      <c r="M83" s="70" t="s">
        <v>542</v>
      </c>
      <c r="N83" s="70" t="s">
        <v>541</v>
      </c>
      <c r="O83" s="69" t="s">
        <v>694</v>
      </c>
      <c r="P83" s="69" t="s">
        <v>694</v>
      </c>
      <c r="Q83" s="69" t="s">
        <v>694</v>
      </c>
      <c r="R83" s="69" t="s">
        <v>18</v>
      </c>
      <c r="S83" s="75"/>
    </row>
    <row r="84" spans="1:19" ht="33" customHeight="1">
      <c r="A84" s="68">
        <f>SUBTOTAL(3,B$4:B84)</f>
        <v>81</v>
      </c>
      <c r="B84" s="69" t="s">
        <v>420</v>
      </c>
      <c r="C84" s="70" t="s">
        <v>11</v>
      </c>
      <c r="D84" s="76" t="s">
        <v>460</v>
      </c>
      <c r="E84" s="71" t="s">
        <v>418</v>
      </c>
      <c r="F84" s="69" t="s">
        <v>417</v>
      </c>
      <c r="G84" s="72" t="s">
        <v>441</v>
      </c>
      <c r="H84" s="69" t="s">
        <v>441</v>
      </c>
      <c r="I84" s="70" t="s">
        <v>540</v>
      </c>
      <c r="J84" s="69" t="s">
        <v>694</v>
      </c>
      <c r="K84" s="72">
        <v>694</v>
      </c>
      <c r="L84" s="70" t="s">
        <v>539</v>
      </c>
      <c r="M84" s="70" t="s">
        <v>542</v>
      </c>
      <c r="N84" s="70" t="s">
        <v>541</v>
      </c>
      <c r="O84" s="69" t="s">
        <v>694</v>
      </c>
      <c r="P84" s="69" t="s">
        <v>694</v>
      </c>
      <c r="Q84" s="69" t="s">
        <v>694</v>
      </c>
      <c r="R84" s="69" t="s">
        <v>18</v>
      </c>
      <c r="S84" s="75"/>
    </row>
    <row r="85" spans="1:19" ht="33" customHeight="1">
      <c r="A85" s="68">
        <f>SUBTOTAL(3,B$4:B85)</f>
        <v>82</v>
      </c>
      <c r="B85" s="69" t="s">
        <v>421</v>
      </c>
      <c r="C85" s="70" t="s">
        <v>11</v>
      </c>
      <c r="D85" s="76" t="s">
        <v>460</v>
      </c>
      <c r="E85" s="71" t="s">
        <v>418</v>
      </c>
      <c r="F85" s="69" t="s">
        <v>417</v>
      </c>
      <c r="G85" s="72" t="s">
        <v>439</v>
      </c>
      <c r="H85" s="69" t="s">
        <v>439</v>
      </c>
      <c r="I85" s="70" t="s">
        <v>540</v>
      </c>
      <c r="J85" s="69" t="s">
        <v>694</v>
      </c>
      <c r="K85" s="72">
        <v>694</v>
      </c>
      <c r="L85" s="70" t="s">
        <v>539</v>
      </c>
      <c r="M85" s="70" t="s">
        <v>542</v>
      </c>
      <c r="N85" s="70" t="s">
        <v>541</v>
      </c>
      <c r="O85" s="69" t="s">
        <v>694</v>
      </c>
      <c r="P85" s="69" t="s">
        <v>694</v>
      </c>
      <c r="Q85" s="69" t="s">
        <v>694</v>
      </c>
      <c r="R85" s="69" t="s">
        <v>18</v>
      </c>
      <c r="S85" s="75"/>
    </row>
    <row r="86" spans="1:19" ht="33" customHeight="1">
      <c r="A86" s="68">
        <f>SUBTOTAL(3,B$4:B86)</f>
        <v>83</v>
      </c>
      <c r="B86" s="69" t="s">
        <v>422</v>
      </c>
      <c r="C86" s="70" t="s">
        <v>11</v>
      </c>
      <c r="D86" s="76" t="s">
        <v>460</v>
      </c>
      <c r="E86" s="71" t="s">
        <v>418</v>
      </c>
      <c r="F86" s="69" t="s">
        <v>417</v>
      </c>
      <c r="G86" s="72" t="s">
        <v>436</v>
      </c>
      <c r="H86" s="69" t="s">
        <v>436</v>
      </c>
      <c r="I86" s="70" t="s">
        <v>540</v>
      </c>
      <c r="J86" s="69" t="s">
        <v>694</v>
      </c>
      <c r="K86" s="72">
        <v>694</v>
      </c>
      <c r="L86" s="70" t="s">
        <v>539</v>
      </c>
      <c r="M86" s="70" t="s">
        <v>542</v>
      </c>
      <c r="N86" s="70" t="s">
        <v>541</v>
      </c>
      <c r="O86" s="69" t="s">
        <v>694</v>
      </c>
      <c r="P86" s="69" t="s">
        <v>694</v>
      </c>
      <c r="Q86" s="69" t="s">
        <v>694</v>
      </c>
      <c r="R86" s="69" t="s">
        <v>18</v>
      </c>
      <c r="S86" s="75"/>
    </row>
    <row r="87" spans="1:19" ht="33" customHeight="1">
      <c r="A87" s="68">
        <f>SUBTOTAL(3,B$4:B87)</f>
        <v>84</v>
      </c>
      <c r="B87" s="69" t="s">
        <v>423</v>
      </c>
      <c r="C87" s="70" t="s">
        <v>11</v>
      </c>
      <c r="D87" s="76" t="s">
        <v>460</v>
      </c>
      <c r="E87" s="71" t="s">
        <v>418</v>
      </c>
      <c r="F87" s="69" t="s">
        <v>417</v>
      </c>
      <c r="G87" s="72" t="s">
        <v>438</v>
      </c>
      <c r="H87" s="69" t="s">
        <v>438</v>
      </c>
      <c r="I87" s="70" t="s">
        <v>540</v>
      </c>
      <c r="J87" s="69" t="s">
        <v>694</v>
      </c>
      <c r="K87" s="72">
        <v>694</v>
      </c>
      <c r="L87" s="70" t="s">
        <v>539</v>
      </c>
      <c r="M87" s="70" t="s">
        <v>542</v>
      </c>
      <c r="N87" s="70" t="s">
        <v>541</v>
      </c>
      <c r="O87" s="69" t="s">
        <v>694</v>
      </c>
      <c r="P87" s="69" t="s">
        <v>694</v>
      </c>
      <c r="Q87" s="69" t="s">
        <v>694</v>
      </c>
      <c r="R87" s="69" t="s">
        <v>18</v>
      </c>
      <c r="S87" s="75"/>
    </row>
    <row r="88" spans="1:19" ht="33" customHeight="1">
      <c r="A88" s="68">
        <f>SUBTOTAL(3,B$4:B88)</f>
        <v>85</v>
      </c>
      <c r="B88" s="81" t="s">
        <v>424</v>
      </c>
      <c r="C88" s="70" t="s">
        <v>11</v>
      </c>
      <c r="D88" s="76" t="s">
        <v>460</v>
      </c>
      <c r="E88" s="71" t="s">
        <v>418</v>
      </c>
      <c r="F88" s="69" t="s">
        <v>417</v>
      </c>
      <c r="G88" s="72" t="s">
        <v>440</v>
      </c>
      <c r="H88" s="69" t="s">
        <v>440</v>
      </c>
      <c r="I88" s="70" t="s">
        <v>540</v>
      </c>
      <c r="J88" s="69" t="s">
        <v>694</v>
      </c>
      <c r="K88" s="72">
        <v>694</v>
      </c>
      <c r="L88" s="70" t="s">
        <v>539</v>
      </c>
      <c r="M88" s="70" t="s">
        <v>542</v>
      </c>
      <c r="N88" s="70" t="s">
        <v>541</v>
      </c>
      <c r="O88" s="69" t="s">
        <v>694</v>
      </c>
      <c r="P88" s="69" t="s">
        <v>694</v>
      </c>
      <c r="Q88" s="69" t="s">
        <v>694</v>
      </c>
      <c r="R88" s="69" t="s">
        <v>18</v>
      </c>
      <c r="S88" s="75"/>
    </row>
    <row r="89" spans="1:19" ht="33" customHeight="1">
      <c r="A89" s="68">
        <f>SUBTOTAL(3,B$4:B89)</f>
        <v>86</v>
      </c>
      <c r="B89" s="81" t="s">
        <v>425</v>
      </c>
      <c r="C89" s="70" t="s">
        <v>35</v>
      </c>
      <c r="D89" s="76" t="s">
        <v>460</v>
      </c>
      <c r="E89" s="71" t="s">
        <v>418</v>
      </c>
      <c r="F89" s="69" t="s">
        <v>417</v>
      </c>
      <c r="G89" s="72" t="s">
        <v>442</v>
      </c>
      <c r="H89" s="69" t="s">
        <v>442</v>
      </c>
      <c r="I89" s="70" t="s">
        <v>540</v>
      </c>
      <c r="J89" s="69" t="s">
        <v>694</v>
      </c>
      <c r="K89" s="72">
        <v>694</v>
      </c>
      <c r="L89" s="70" t="s">
        <v>539</v>
      </c>
      <c r="M89" s="70" t="s">
        <v>542</v>
      </c>
      <c r="N89" s="70" t="s">
        <v>541</v>
      </c>
      <c r="O89" s="69" t="s">
        <v>694</v>
      </c>
      <c r="P89" s="69" t="s">
        <v>694</v>
      </c>
      <c r="Q89" s="69" t="s">
        <v>694</v>
      </c>
      <c r="R89" s="69" t="s">
        <v>18</v>
      </c>
      <c r="S89" s="75"/>
    </row>
    <row r="90" spans="1:19" ht="33" customHeight="1">
      <c r="A90" s="68">
        <f>SUBTOTAL(3,B$4:B90)</f>
        <v>87</v>
      </c>
      <c r="B90" s="81" t="s">
        <v>426</v>
      </c>
      <c r="C90" s="70" t="s">
        <v>35</v>
      </c>
      <c r="D90" s="76" t="s">
        <v>460</v>
      </c>
      <c r="E90" s="71" t="s">
        <v>418</v>
      </c>
      <c r="F90" s="69" t="s">
        <v>417</v>
      </c>
      <c r="G90" s="72" t="s">
        <v>443</v>
      </c>
      <c r="H90" s="69" t="s">
        <v>443</v>
      </c>
      <c r="I90" s="70" t="s">
        <v>540</v>
      </c>
      <c r="J90" s="69" t="s">
        <v>694</v>
      </c>
      <c r="K90" s="72">
        <v>694</v>
      </c>
      <c r="L90" s="70" t="s">
        <v>539</v>
      </c>
      <c r="M90" s="70" t="s">
        <v>542</v>
      </c>
      <c r="N90" s="70" t="s">
        <v>541</v>
      </c>
      <c r="O90" s="69" t="s">
        <v>694</v>
      </c>
      <c r="P90" s="69" t="s">
        <v>694</v>
      </c>
      <c r="Q90" s="69" t="s">
        <v>694</v>
      </c>
      <c r="R90" s="69" t="s">
        <v>18</v>
      </c>
      <c r="S90" s="75"/>
    </row>
    <row r="91" spans="1:19" ht="33" customHeight="1">
      <c r="A91" s="68">
        <f>SUBTOTAL(3,B$4:B91)</f>
        <v>88</v>
      </c>
      <c r="B91" s="81" t="s">
        <v>427</v>
      </c>
      <c r="C91" s="70" t="s">
        <v>35</v>
      </c>
      <c r="D91" s="76" t="s">
        <v>460</v>
      </c>
      <c r="E91" s="71" t="s">
        <v>418</v>
      </c>
      <c r="F91" s="69" t="s">
        <v>417</v>
      </c>
      <c r="G91" s="72" t="s">
        <v>444</v>
      </c>
      <c r="H91" s="69" t="s">
        <v>444</v>
      </c>
      <c r="I91" s="70" t="s">
        <v>540</v>
      </c>
      <c r="J91" s="69" t="s">
        <v>694</v>
      </c>
      <c r="K91" s="72">
        <v>694</v>
      </c>
      <c r="L91" s="70" t="s">
        <v>539</v>
      </c>
      <c r="M91" s="70" t="s">
        <v>542</v>
      </c>
      <c r="N91" s="70" t="s">
        <v>541</v>
      </c>
      <c r="O91" s="69" t="s">
        <v>694</v>
      </c>
      <c r="P91" s="69" t="s">
        <v>694</v>
      </c>
      <c r="Q91" s="69" t="s">
        <v>694</v>
      </c>
      <c r="R91" s="69" t="s">
        <v>18</v>
      </c>
      <c r="S91" s="75"/>
    </row>
    <row r="92" spans="1:19" ht="33" customHeight="1">
      <c r="A92" s="68">
        <f>SUBTOTAL(3,B$4:B92)</f>
        <v>89</v>
      </c>
      <c r="B92" s="81" t="s">
        <v>428</v>
      </c>
      <c r="C92" s="70" t="s">
        <v>35</v>
      </c>
      <c r="D92" s="76" t="s">
        <v>460</v>
      </c>
      <c r="E92" s="71" t="s">
        <v>418</v>
      </c>
      <c r="F92" s="69" t="s">
        <v>417</v>
      </c>
      <c r="G92" s="72" t="s">
        <v>445</v>
      </c>
      <c r="H92" s="69" t="s">
        <v>445</v>
      </c>
      <c r="I92" s="70" t="s">
        <v>540</v>
      </c>
      <c r="J92" s="69" t="s">
        <v>694</v>
      </c>
      <c r="K92" s="72">
        <v>694</v>
      </c>
      <c r="L92" s="70" t="s">
        <v>539</v>
      </c>
      <c r="M92" s="70" t="s">
        <v>542</v>
      </c>
      <c r="N92" s="70" t="s">
        <v>541</v>
      </c>
      <c r="O92" s="69" t="s">
        <v>694</v>
      </c>
      <c r="P92" s="69" t="s">
        <v>694</v>
      </c>
      <c r="Q92" s="69" t="s">
        <v>694</v>
      </c>
      <c r="R92" s="69" t="s">
        <v>18</v>
      </c>
      <c r="S92" s="75"/>
    </row>
    <row r="93" spans="1:19" ht="33" customHeight="1">
      <c r="A93" s="68">
        <f>SUBTOTAL(3,B$4:B93)</f>
        <v>90</v>
      </c>
      <c r="B93" s="69" t="s">
        <v>429</v>
      </c>
      <c r="C93" s="70" t="s">
        <v>35</v>
      </c>
      <c r="D93" s="76" t="s">
        <v>460</v>
      </c>
      <c r="E93" s="71" t="s">
        <v>418</v>
      </c>
      <c r="F93" s="69" t="s">
        <v>417</v>
      </c>
      <c r="G93" s="72" t="s">
        <v>446</v>
      </c>
      <c r="H93" s="69" t="s">
        <v>446</v>
      </c>
      <c r="I93" s="70" t="s">
        <v>540</v>
      </c>
      <c r="J93" s="69" t="s">
        <v>694</v>
      </c>
      <c r="K93" s="72">
        <v>694</v>
      </c>
      <c r="L93" s="70" t="s">
        <v>539</v>
      </c>
      <c r="M93" s="70" t="s">
        <v>542</v>
      </c>
      <c r="N93" s="70" t="s">
        <v>541</v>
      </c>
      <c r="O93" s="69" t="s">
        <v>694</v>
      </c>
      <c r="P93" s="69" t="s">
        <v>694</v>
      </c>
      <c r="Q93" s="69" t="s">
        <v>694</v>
      </c>
      <c r="R93" s="69" t="s">
        <v>18</v>
      </c>
      <c r="S93" s="75"/>
    </row>
    <row r="94" spans="1:19" ht="33" customHeight="1">
      <c r="A94" s="68">
        <f>SUBTOTAL(3,B$4:B94)</f>
        <v>91</v>
      </c>
      <c r="B94" s="69" t="s">
        <v>430</v>
      </c>
      <c r="C94" s="70" t="s">
        <v>11</v>
      </c>
      <c r="D94" s="76" t="s">
        <v>460</v>
      </c>
      <c r="E94" s="71" t="s">
        <v>418</v>
      </c>
      <c r="F94" s="69" t="s">
        <v>435</v>
      </c>
      <c r="G94" s="72">
        <v>10004334</v>
      </c>
      <c r="H94" s="69">
        <v>10004334</v>
      </c>
      <c r="I94" s="70" t="s">
        <v>540</v>
      </c>
      <c r="J94" s="69" t="s">
        <v>694</v>
      </c>
      <c r="K94" s="72">
        <v>719</v>
      </c>
      <c r="L94" s="70" t="s">
        <v>543</v>
      </c>
      <c r="M94" s="70" t="s">
        <v>908</v>
      </c>
      <c r="N94" s="69" t="s">
        <v>910</v>
      </c>
      <c r="O94" s="69" t="s">
        <v>909</v>
      </c>
      <c r="P94" s="69" t="s">
        <v>694</v>
      </c>
      <c r="Q94" s="69" t="s">
        <v>694</v>
      </c>
      <c r="R94" s="69" t="s">
        <v>18</v>
      </c>
      <c r="S94" s="75"/>
    </row>
    <row r="95" spans="1:19" ht="35.25" customHeight="1">
      <c r="A95" s="68">
        <f>SUBTOTAL(3,B$4:B95)</f>
        <v>92</v>
      </c>
      <c r="B95" s="69" t="s">
        <v>431</v>
      </c>
      <c r="C95" s="70" t="s">
        <v>11</v>
      </c>
      <c r="D95" s="76" t="s">
        <v>460</v>
      </c>
      <c r="E95" s="71" t="s">
        <v>418</v>
      </c>
      <c r="F95" s="69" t="s">
        <v>435</v>
      </c>
      <c r="G95" s="72">
        <v>10004329</v>
      </c>
      <c r="H95" s="69">
        <v>10004329</v>
      </c>
      <c r="I95" s="70" t="s">
        <v>540</v>
      </c>
      <c r="J95" s="69" t="s">
        <v>694</v>
      </c>
      <c r="K95" s="72">
        <v>719</v>
      </c>
      <c r="L95" s="70" t="s">
        <v>543</v>
      </c>
      <c r="M95" s="70" t="s">
        <v>908</v>
      </c>
      <c r="N95" s="69" t="s">
        <v>910</v>
      </c>
      <c r="O95" s="69" t="s">
        <v>694</v>
      </c>
      <c r="P95" s="69" t="s">
        <v>694</v>
      </c>
      <c r="Q95" s="69" t="s">
        <v>694</v>
      </c>
      <c r="R95" s="69" t="s">
        <v>18</v>
      </c>
      <c r="S95" s="75"/>
    </row>
    <row r="96" spans="1:19" ht="35.25" customHeight="1">
      <c r="A96" s="68">
        <f>SUBTOTAL(3,B$4:B96)</f>
        <v>93</v>
      </c>
      <c r="B96" s="69" t="s">
        <v>432</v>
      </c>
      <c r="C96" s="70" t="s">
        <v>11</v>
      </c>
      <c r="D96" s="76" t="s">
        <v>460</v>
      </c>
      <c r="E96" s="71" t="s">
        <v>418</v>
      </c>
      <c r="F96" s="69" t="s">
        <v>435</v>
      </c>
      <c r="G96" s="72">
        <v>16000388</v>
      </c>
      <c r="H96" s="69">
        <v>16000388</v>
      </c>
      <c r="I96" s="70" t="s">
        <v>540</v>
      </c>
      <c r="J96" s="69" t="s">
        <v>694</v>
      </c>
      <c r="K96" s="72">
        <v>719</v>
      </c>
      <c r="L96" s="70" t="s">
        <v>543</v>
      </c>
      <c r="M96" s="70" t="s">
        <v>908</v>
      </c>
      <c r="N96" s="69" t="s">
        <v>910</v>
      </c>
      <c r="O96" s="69" t="s">
        <v>694</v>
      </c>
      <c r="P96" s="69" t="s">
        <v>694</v>
      </c>
      <c r="Q96" s="69" t="s">
        <v>694</v>
      </c>
      <c r="R96" s="69" t="s">
        <v>18</v>
      </c>
      <c r="S96" s="75"/>
    </row>
    <row r="97" spans="1:19" ht="35.25" customHeight="1">
      <c r="A97" s="68">
        <f>SUBTOTAL(3,B$4:B97)</f>
        <v>94</v>
      </c>
      <c r="B97" s="69" t="s">
        <v>433</v>
      </c>
      <c r="C97" s="70" t="s">
        <v>35</v>
      </c>
      <c r="D97" s="76" t="s">
        <v>462</v>
      </c>
      <c r="E97" s="71" t="s">
        <v>463</v>
      </c>
      <c r="F97" s="69" t="s">
        <v>455</v>
      </c>
      <c r="G97" s="72" t="s">
        <v>694</v>
      </c>
      <c r="H97" s="69" t="s">
        <v>694</v>
      </c>
      <c r="I97" s="70" t="s">
        <v>545</v>
      </c>
      <c r="J97" s="69">
        <v>2021</v>
      </c>
      <c r="K97" s="72">
        <v>2685</v>
      </c>
      <c r="L97" s="70" t="s">
        <v>546</v>
      </c>
      <c r="M97" s="70" t="s">
        <v>547</v>
      </c>
      <c r="N97" s="70" t="s">
        <v>544</v>
      </c>
      <c r="O97" s="69" t="s">
        <v>747</v>
      </c>
      <c r="P97" s="69" t="s">
        <v>694</v>
      </c>
      <c r="Q97" s="69" t="s">
        <v>694</v>
      </c>
      <c r="R97" s="69" t="s">
        <v>18</v>
      </c>
      <c r="S97" s="75"/>
    </row>
    <row r="98" spans="1:19" ht="32.25" customHeight="1">
      <c r="A98" s="68">
        <f>SUBTOTAL(3,B$4:B98)</f>
        <v>95</v>
      </c>
      <c r="B98" s="69" t="s">
        <v>434</v>
      </c>
      <c r="C98" s="83" t="s">
        <v>467</v>
      </c>
      <c r="D98" s="76" t="s">
        <v>462</v>
      </c>
      <c r="E98" s="71" t="s">
        <v>463</v>
      </c>
      <c r="F98" s="69" t="s">
        <v>767</v>
      </c>
      <c r="G98" s="72">
        <v>1907643</v>
      </c>
      <c r="H98" s="69">
        <v>1907643</v>
      </c>
      <c r="I98" s="70" t="s">
        <v>694</v>
      </c>
      <c r="J98" s="69" t="s">
        <v>694</v>
      </c>
      <c r="K98" s="70" t="s">
        <v>694</v>
      </c>
      <c r="L98" s="70" t="s">
        <v>905</v>
      </c>
      <c r="M98" s="70" t="s">
        <v>694</v>
      </c>
      <c r="N98" s="70" t="s">
        <v>694</v>
      </c>
      <c r="O98" s="69" t="s">
        <v>694</v>
      </c>
      <c r="P98" s="69" t="s">
        <v>694</v>
      </c>
      <c r="Q98" s="69" t="s">
        <v>694</v>
      </c>
      <c r="R98" s="69" t="s">
        <v>18</v>
      </c>
      <c r="S98" s="75" t="s">
        <v>772</v>
      </c>
    </row>
    <row r="99" spans="1:19" ht="32.25" customHeight="1">
      <c r="A99" s="68">
        <f>SUBTOTAL(3,B$4:B99)</f>
        <v>96</v>
      </c>
      <c r="B99" s="80" t="s">
        <v>465</v>
      </c>
      <c r="C99" s="83" t="s">
        <v>467</v>
      </c>
      <c r="D99" s="84" t="s">
        <v>462</v>
      </c>
      <c r="E99" s="85" t="s">
        <v>463</v>
      </c>
      <c r="F99" s="80" t="s">
        <v>746</v>
      </c>
      <c r="G99" s="80" t="s">
        <v>741</v>
      </c>
      <c r="H99" s="80" t="s">
        <v>741</v>
      </c>
      <c r="I99" s="83" t="s">
        <v>548</v>
      </c>
      <c r="J99" s="80">
        <v>2019</v>
      </c>
      <c r="K99" s="86">
        <v>1540</v>
      </c>
      <c r="L99" s="83" t="s">
        <v>549</v>
      </c>
      <c r="M99" s="80" t="s">
        <v>743</v>
      </c>
      <c r="N99" s="80" t="s">
        <v>744</v>
      </c>
      <c r="O99" s="80" t="s">
        <v>742</v>
      </c>
      <c r="P99" s="80" t="s">
        <v>694</v>
      </c>
      <c r="Q99" s="80" t="s">
        <v>694</v>
      </c>
      <c r="R99" s="80" t="s">
        <v>18</v>
      </c>
      <c r="S99" s="87"/>
    </row>
    <row r="100" spans="1:19" ht="32.25" customHeight="1"/>
  </sheetData>
  <phoneticPr fontId="2" type="noConversion"/>
  <conditionalFormatting sqref="G99">
    <cfRule type="duplicateValues" dxfId="73" priority="7"/>
  </conditionalFormatting>
  <conditionalFormatting sqref="G104:G120">
    <cfRule type="duplicateValues" dxfId="72" priority="112"/>
  </conditionalFormatting>
  <conditionalFormatting sqref="G83:G1048576 G1:G80">
    <cfRule type="duplicateValues" dxfId="71" priority="4"/>
    <cfRule type="duplicateValues" dxfId="70" priority="5"/>
  </conditionalFormatting>
  <conditionalFormatting sqref="B1:B1048576">
    <cfRule type="duplicateValues" dxfId="69" priority="3"/>
  </conditionalFormatting>
  <conditionalFormatting sqref="G83:G98 G4:G80">
    <cfRule type="duplicateValues" dxfId="68" priority="122"/>
  </conditionalFormatting>
  <conditionalFormatting sqref="H82:H99 H4:H80">
    <cfRule type="duplicateValues" dxfId="67" priority="124"/>
  </conditionalFormatting>
  <conditionalFormatting sqref="G81:G82">
    <cfRule type="duplicateValues" dxfId="66" priority="2"/>
  </conditionalFormatting>
  <conditionalFormatting sqref="H81">
    <cfRule type="duplicateValues" dxfId="65" priority="1"/>
  </conditionalFormatting>
  <pageMargins left="0.4" right="0.28000000000000003" top="0.75" bottom="0.75" header="0.3" footer="0.3"/>
  <pageSetup paperSize="8" scale="64" orientation="portrait" r:id="rId1"/>
  <colBreaks count="1" manualBreakCount="1">
    <brk id="10" max="1048575" man="1"/>
  </colBreak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AB50-F33D-415B-B164-01971FD8E024}">
  <sheetPr codeName="Лист3"/>
  <dimension ref="A1:K98"/>
  <sheetViews>
    <sheetView showGridLines="0" zoomScale="70" zoomScaleNormal="70" workbookViewId="0">
      <pane ySplit="2" topLeftCell="A3" activePane="bottomLeft" state="frozen"/>
      <selection pane="bottomLeft" activeCell="C15" sqref="C15"/>
    </sheetView>
  </sheetViews>
  <sheetFormatPr defaultRowHeight="14.25"/>
  <cols>
    <col min="1" max="1" width="6" style="13" customWidth="1"/>
    <col min="2" max="2" width="51.53125" style="13" customWidth="1"/>
    <col min="3" max="3" width="16.1328125" style="13" customWidth="1"/>
    <col min="4" max="4" width="11.6640625" style="13" customWidth="1"/>
    <col min="5" max="5" width="41" style="13" customWidth="1"/>
    <col min="6" max="6" width="41.1328125" style="13" customWidth="1"/>
    <col min="7" max="7" width="30.1328125" style="4" customWidth="1"/>
    <col min="8" max="8" width="24.33203125" style="13" bestFit="1" customWidth="1"/>
    <col min="9" max="9" width="50.46484375" style="13" bestFit="1" customWidth="1"/>
    <col min="10" max="10" width="17.86328125" style="13" customWidth="1"/>
    <col min="11" max="11" width="37.33203125" style="13" bestFit="1" customWidth="1"/>
  </cols>
  <sheetData>
    <row r="1" spans="1:11" ht="85.5" customHeight="1">
      <c r="B1" s="26" t="s">
        <v>904</v>
      </c>
      <c r="E1" s="17"/>
    </row>
    <row r="2" spans="1:11" ht="34.15" thickBot="1">
      <c r="A2" s="100" t="s">
        <v>0</v>
      </c>
      <c r="B2" s="101" t="s">
        <v>2</v>
      </c>
      <c r="C2" s="101" t="s">
        <v>8</v>
      </c>
      <c r="D2" s="102" t="s">
        <v>1</v>
      </c>
      <c r="E2" s="101" t="s">
        <v>899</v>
      </c>
      <c r="F2" s="101" t="s">
        <v>900</v>
      </c>
      <c r="G2" s="101" t="s">
        <v>9</v>
      </c>
      <c r="H2" s="101" t="s">
        <v>3</v>
      </c>
      <c r="I2" s="101" t="s">
        <v>552</v>
      </c>
      <c r="J2" s="101" t="s">
        <v>550</v>
      </c>
      <c r="K2" s="101" t="s">
        <v>495</v>
      </c>
    </row>
    <row r="3" spans="1:11" ht="18.75" customHeight="1">
      <c r="A3" s="90">
        <f>SUBTOTAL(3,C$3:C3)</f>
        <v>1</v>
      </c>
      <c r="B3" s="91" t="s">
        <v>883</v>
      </c>
      <c r="C3" s="91" t="s">
        <v>11</v>
      </c>
      <c r="D3" s="92"/>
      <c r="E3" s="93" t="s">
        <v>400</v>
      </c>
      <c r="F3" s="93" t="s">
        <v>615</v>
      </c>
      <c r="G3" s="94" t="s">
        <v>840</v>
      </c>
      <c r="H3" s="91" t="s">
        <v>754</v>
      </c>
      <c r="I3" s="91" t="s">
        <v>556</v>
      </c>
      <c r="J3" s="97"/>
      <c r="K3" s="91"/>
    </row>
    <row r="4" spans="1:11" ht="18.75" customHeight="1">
      <c r="A4" s="90">
        <f>SUBTOTAL(3,C$3:C4)</f>
        <v>2</v>
      </c>
      <c r="B4" s="91" t="s">
        <v>883</v>
      </c>
      <c r="C4" s="91" t="s">
        <v>11</v>
      </c>
      <c r="D4" s="92"/>
      <c r="E4" s="93" t="s">
        <v>400</v>
      </c>
      <c r="F4" s="93" t="s">
        <v>615</v>
      </c>
      <c r="G4" s="94" t="s">
        <v>841</v>
      </c>
      <c r="H4" s="91" t="s">
        <v>755</v>
      </c>
      <c r="I4" s="91" t="s">
        <v>556</v>
      </c>
      <c r="J4" s="97"/>
      <c r="K4" s="91"/>
    </row>
    <row r="5" spans="1:11" ht="18.75" customHeight="1">
      <c r="A5" s="90">
        <f>SUBTOTAL(3,C$3:C5)</f>
        <v>3</v>
      </c>
      <c r="B5" s="91" t="s">
        <v>883</v>
      </c>
      <c r="C5" s="91" t="s">
        <v>11</v>
      </c>
      <c r="D5" s="92"/>
      <c r="E5" s="93" t="s">
        <v>388</v>
      </c>
      <c r="F5" s="93" t="s">
        <v>108</v>
      </c>
      <c r="G5" s="94" t="s">
        <v>842</v>
      </c>
      <c r="H5" s="94" t="s">
        <v>760</v>
      </c>
      <c r="I5" s="94" t="s">
        <v>557</v>
      </c>
      <c r="J5" s="97"/>
      <c r="K5" s="91"/>
    </row>
    <row r="6" spans="1:11" ht="18.75" customHeight="1">
      <c r="A6" s="90">
        <f>SUBTOTAL(3,C$3:C6)</f>
        <v>4</v>
      </c>
      <c r="B6" s="91" t="s">
        <v>884</v>
      </c>
      <c r="C6" s="91" t="s">
        <v>11</v>
      </c>
      <c r="D6" s="92"/>
      <c r="E6" s="93" t="s">
        <v>390</v>
      </c>
      <c r="F6" s="93" t="s">
        <v>169</v>
      </c>
      <c r="G6" s="94" t="s">
        <v>697</v>
      </c>
      <c r="H6" s="94" t="s">
        <v>756</v>
      </c>
      <c r="I6" s="94" t="s">
        <v>559</v>
      </c>
      <c r="J6" s="97"/>
      <c r="K6" s="91"/>
    </row>
    <row r="7" spans="1:11" ht="18.75" customHeight="1">
      <c r="A7" s="90">
        <f>SUBTOTAL(3,C$3:C7)</f>
        <v>5</v>
      </c>
      <c r="B7" s="91" t="s">
        <v>885</v>
      </c>
      <c r="C7" s="91" t="s">
        <v>11</v>
      </c>
      <c r="D7" s="92"/>
      <c r="E7" s="93" t="s">
        <v>397</v>
      </c>
      <c r="F7" s="93" t="s">
        <v>524</v>
      </c>
      <c r="G7" s="94" t="s">
        <v>658</v>
      </c>
      <c r="H7" s="94" t="s">
        <v>757</v>
      </c>
      <c r="I7" s="94" t="s">
        <v>561</v>
      </c>
      <c r="J7" s="97"/>
      <c r="K7" s="91" t="s">
        <v>762</v>
      </c>
    </row>
    <row r="8" spans="1:11" ht="18.75" customHeight="1">
      <c r="A8" s="90">
        <f>SUBTOTAL(3,C$3:C8)</f>
        <v>6</v>
      </c>
      <c r="B8" s="91" t="s">
        <v>886</v>
      </c>
      <c r="C8" s="91" t="s">
        <v>11</v>
      </c>
      <c r="D8" s="92"/>
      <c r="E8" s="93" t="s">
        <v>682</v>
      </c>
      <c r="F8" s="93" t="s">
        <v>617</v>
      </c>
      <c r="G8" s="94" t="s">
        <v>699</v>
      </c>
      <c r="H8" s="94" t="s">
        <v>758</v>
      </c>
      <c r="I8" s="94" t="s">
        <v>562</v>
      </c>
      <c r="J8" s="97"/>
      <c r="K8" s="91" t="s">
        <v>763</v>
      </c>
    </row>
    <row r="9" spans="1:11" ht="18.75" customHeight="1">
      <c r="A9" s="90">
        <f>SUBTOTAL(3,C$3:C9)</f>
        <v>7</v>
      </c>
      <c r="B9" s="91" t="s">
        <v>887</v>
      </c>
      <c r="C9" s="91" t="s">
        <v>11</v>
      </c>
      <c r="D9" s="92"/>
      <c r="E9" s="93" t="s">
        <v>681</v>
      </c>
      <c r="F9" s="93" t="s">
        <v>619</v>
      </c>
      <c r="G9" s="92" t="s">
        <v>680</v>
      </c>
      <c r="H9" s="91" t="s">
        <v>555</v>
      </c>
      <c r="I9" s="94" t="s">
        <v>563</v>
      </c>
      <c r="J9" s="97"/>
      <c r="K9" s="91"/>
    </row>
    <row r="10" spans="1:11" ht="18.75" customHeight="1">
      <c r="A10" s="95">
        <f>SUBTOTAL(3,C$3:C98)</f>
        <v>82</v>
      </c>
      <c r="B10" s="91" t="s">
        <v>880</v>
      </c>
      <c r="C10" s="91" t="s">
        <v>467</v>
      </c>
      <c r="D10" s="92"/>
      <c r="E10" s="93" t="s">
        <v>400</v>
      </c>
      <c r="F10" s="93" t="s">
        <v>615</v>
      </c>
      <c r="G10" s="92" t="s">
        <v>843</v>
      </c>
      <c r="H10" s="91" t="s">
        <v>753</v>
      </c>
      <c r="I10" s="94" t="s">
        <v>765</v>
      </c>
      <c r="J10" s="97"/>
      <c r="K10" s="91"/>
    </row>
    <row r="11" spans="1:11" ht="18.75" customHeight="1">
      <c r="A11" s="90">
        <f>SUBTOTAL(3,C$3:C11)</f>
        <v>9</v>
      </c>
      <c r="B11" s="91" t="s">
        <v>870</v>
      </c>
      <c r="C11" s="91" t="s">
        <v>35</v>
      </c>
      <c r="D11" s="92"/>
      <c r="E11" s="93" t="s">
        <v>400</v>
      </c>
      <c r="F11" s="93" t="s">
        <v>615</v>
      </c>
      <c r="G11" s="92" t="s">
        <v>637</v>
      </c>
      <c r="H11" s="91" t="s">
        <v>564</v>
      </c>
      <c r="I11" s="91" t="s">
        <v>893</v>
      </c>
      <c r="J11" s="97"/>
      <c r="K11" s="91"/>
    </row>
    <row r="12" spans="1:11" ht="18.75" customHeight="1">
      <c r="A12" s="90">
        <f>SUBTOTAL(3,C$3:C12)</f>
        <v>10</v>
      </c>
      <c r="B12" s="91" t="s">
        <v>870</v>
      </c>
      <c r="C12" s="91" t="s">
        <v>35</v>
      </c>
      <c r="D12" s="92"/>
      <c r="E12" s="93" t="s">
        <v>400</v>
      </c>
      <c r="F12" s="93" t="s">
        <v>615</v>
      </c>
      <c r="G12" s="92" t="s">
        <v>638</v>
      </c>
      <c r="H12" s="91" t="s">
        <v>565</v>
      </c>
      <c r="I12" s="91" t="s">
        <v>894</v>
      </c>
      <c r="J12" s="97"/>
      <c r="K12" s="91"/>
    </row>
    <row r="13" spans="1:11" ht="18.75" customHeight="1">
      <c r="A13" s="90">
        <f>SUBTOTAL(3,C$3:C13)</f>
        <v>11</v>
      </c>
      <c r="B13" s="91" t="s">
        <v>870</v>
      </c>
      <c r="C13" s="91" t="s">
        <v>35</v>
      </c>
      <c r="D13" s="92"/>
      <c r="E13" s="93" t="s">
        <v>679</v>
      </c>
      <c r="F13" s="93" t="s">
        <v>687</v>
      </c>
      <c r="G13" s="92" t="s">
        <v>639</v>
      </c>
      <c r="H13" s="91" t="s">
        <v>566</v>
      </c>
      <c r="I13" s="91" t="s">
        <v>620</v>
      </c>
      <c r="J13" s="97"/>
      <c r="K13" s="91"/>
    </row>
    <row r="14" spans="1:11" ht="18.75" customHeight="1">
      <c r="A14" s="90">
        <f>SUBTOTAL(3,C$3:C14)</f>
        <v>12</v>
      </c>
      <c r="B14" s="91" t="s">
        <v>870</v>
      </c>
      <c r="C14" s="91" t="s">
        <v>35</v>
      </c>
      <c r="D14" s="92"/>
      <c r="E14" s="93" t="s">
        <v>400</v>
      </c>
      <c r="F14" s="93" t="s">
        <v>615</v>
      </c>
      <c r="G14" s="92" t="s">
        <v>640</v>
      </c>
      <c r="H14" s="91" t="s">
        <v>567</v>
      </c>
      <c r="I14" s="91" t="s">
        <v>895</v>
      </c>
      <c r="J14" s="97"/>
      <c r="K14" s="91"/>
    </row>
    <row r="15" spans="1:11" ht="18.75" customHeight="1">
      <c r="A15" s="90">
        <f>SUBTOTAL(3,C$3:C15)</f>
        <v>13</v>
      </c>
      <c r="B15" s="91" t="s">
        <v>870</v>
      </c>
      <c r="C15" s="91" t="s">
        <v>35</v>
      </c>
      <c r="D15" s="92"/>
      <c r="E15" s="93" t="s">
        <v>400</v>
      </c>
      <c r="F15" s="93" t="s">
        <v>615</v>
      </c>
      <c r="G15" s="92" t="s">
        <v>844</v>
      </c>
      <c r="H15" s="91" t="s">
        <v>568</v>
      </c>
      <c r="I15" s="91" t="s">
        <v>896</v>
      </c>
      <c r="J15" s="97"/>
      <c r="K15" s="91"/>
    </row>
    <row r="16" spans="1:11" ht="18.75" customHeight="1">
      <c r="A16" s="90">
        <f>SUBTOTAL(3,C$3:C16)</f>
        <v>14</v>
      </c>
      <c r="B16" s="91" t="s">
        <v>870</v>
      </c>
      <c r="C16" s="91" t="s">
        <v>35</v>
      </c>
      <c r="D16" s="92"/>
      <c r="E16" s="93" t="s">
        <v>400</v>
      </c>
      <c r="F16" s="93" t="s">
        <v>615</v>
      </c>
      <c r="G16" s="92" t="s">
        <v>845</v>
      </c>
      <c r="H16" s="91" t="s">
        <v>569</v>
      </c>
      <c r="I16" s="91" t="s">
        <v>897</v>
      </c>
      <c r="J16" s="97"/>
      <c r="K16" s="91"/>
    </row>
    <row r="17" spans="1:11" ht="18.75" customHeight="1">
      <c r="A17" s="90">
        <f>SUBTOTAL(3,C$3:C17)</f>
        <v>15</v>
      </c>
      <c r="B17" s="91" t="s">
        <v>888</v>
      </c>
      <c r="C17" s="91" t="s">
        <v>35</v>
      </c>
      <c r="D17" s="92"/>
      <c r="E17" s="93" t="s">
        <v>400</v>
      </c>
      <c r="F17" s="93" t="s">
        <v>615</v>
      </c>
      <c r="G17" s="92" t="s">
        <v>642</v>
      </c>
      <c r="H17" s="91" t="s">
        <v>571</v>
      </c>
      <c r="I17" s="91" t="s">
        <v>898</v>
      </c>
      <c r="J17" s="97"/>
      <c r="K17" s="91"/>
    </row>
    <row r="18" spans="1:11" ht="18.75" customHeight="1">
      <c r="A18" s="90">
        <f>SUBTOTAL(3,C$3:C18)</f>
        <v>16</v>
      </c>
      <c r="B18" s="91" t="s">
        <v>872</v>
      </c>
      <c r="C18" s="91" t="s">
        <v>35</v>
      </c>
      <c r="D18" s="92"/>
      <c r="E18" s="93" t="s">
        <v>400</v>
      </c>
      <c r="F18" s="93" t="s">
        <v>615</v>
      </c>
      <c r="G18" s="92" t="s">
        <v>644</v>
      </c>
      <c r="H18" s="91" t="s">
        <v>573</v>
      </c>
      <c r="I18" s="91" t="s">
        <v>901</v>
      </c>
      <c r="J18" s="97"/>
      <c r="K18" s="91"/>
    </row>
    <row r="19" spans="1:11" ht="18.75" customHeight="1">
      <c r="A19" s="90">
        <f>SUBTOTAL(3,C$3:C19)</f>
        <v>17</v>
      </c>
      <c r="B19" s="91" t="s">
        <v>872</v>
      </c>
      <c r="C19" s="91" t="s">
        <v>35</v>
      </c>
      <c r="D19" s="92"/>
      <c r="E19" s="93" t="s">
        <v>400</v>
      </c>
      <c r="F19" s="93" t="s">
        <v>615</v>
      </c>
      <c r="G19" s="92" t="s">
        <v>647</v>
      </c>
      <c r="H19" s="91" t="s">
        <v>576</v>
      </c>
      <c r="I19" s="91" t="s">
        <v>902</v>
      </c>
      <c r="J19" s="97"/>
      <c r="K19" s="91"/>
    </row>
    <row r="20" spans="1:11" ht="18.75" customHeight="1">
      <c r="A20" s="90">
        <f>SUBTOTAL(3,C$3:C20)</f>
        <v>18</v>
      </c>
      <c r="B20" s="91" t="s">
        <v>872</v>
      </c>
      <c r="C20" s="91" t="s">
        <v>35</v>
      </c>
      <c r="D20" s="92"/>
      <c r="E20" s="93" t="s">
        <v>400</v>
      </c>
      <c r="F20" s="93" t="s">
        <v>615</v>
      </c>
      <c r="G20" s="92" t="s">
        <v>648</v>
      </c>
      <c r="H20" s="91" t="s">
        <v>577</v>
      </c>
      <c r="I20" s="91" t="s">
        <v>903</v>
      </c>
      <c r="J20" s="97"/>
      <c r="K20" s="91"/>
    </row>
    <row r="21" spans="1:11" ht="18.75" customHeight="1">
      <c r="A21" s="90">
        <f>SUBTOTAL(3,C$3:C21)</f>
        <v>19</v>
      </c>
      <c r="B21" s="91" t="s">
        <v>873</v>
      </c>
      <c r="C21" s="91" t="s">
        <v>35</v>
      </c>
      <c r="D21" s="92"/>
      <c r="E21" s="93" t="s">
        <v>678</v>
      </c>
      <c r="F21" s="93" t="s">
        <v>616</v>
      </c>
      <c r="G21" s="92" t="s">
        <v>650</v>
      </c>
      <c r="H21" s="91" t="s">
        <v>579</v>
      </c>
      <c r="I21" s="91" t="s">
        <v>624</v>
      </c>
      <c r="J21" s="97"/>
      <c r="K21" s="91"/>
    </row>
    <row r="22" spans="1:11" ht="18.75" customHeight="1">
      <c r="A22" s="90">
        <f>SUBTOTAL(3,C$3:C22)</f>
        <v>20</v>
      </c>
      <c r="B22" s="91" t="s">
        <v>873</v>
      </c>
      <c r="C22" s="91" t="s">
        <v>35</v>
      </c>
      <c r="D22" s="92"/>
      <c r="E22" s="93" t="s">
        <v>678</v>
      </c>
      <c r="F22" s="93" t="s">
        <v>616</v>
      </c>
      <c r="G22" s="92" t="s">
        <v>650</v>
      </c>
      <c r="H22" s="91">
        <v>2024030108</v>
      </c>
      <c r="I22" s="91" t="s">
        <v>624</v>
      </c>
      <c r="J22" s="97"/>
      <c r="K22" s="91"/>
    </row>
    <row r="23" spans="1:11" ht="18.75" customHeight="1">
      <c r="A23" s="90">
        <f>SUBTOTAL(3,C$3:C23)</f>
        <v>21</v>
      </c>
      <c r="B23" s="91" t="s">
        <v>874</v>
      </c>
      <c r="C23" s="91" t="s">
        <v>35</v>
      </c>
      <c r="D23" s="92"/>
      <c r="E23" s="93" t="s">
        <v>399</v>
      </c>
      <c r="F23" s="93" t="s">
        <v>116</v>
      </c>
      <c r="G23" s="92" t="s">
        <v>652</v>
      </c>
      <c r="H23" s="91" t="s">
        <v>581</v>
      </c>
      <c r="I23" s="91" t="s">
        <v>625</v>
      </c>
      <c r="J23" s="97"/>
      <c r="K23" s="91"/>
    </row>
    <row r="24" spans="1:11" ht="18.75" customHeight="1">
      <c r="A24" s="90">
        <f>SUBTOTAL(3,C$3:C24)</f>
        <v>22</v>
      </c>
      <c r="B24" s="91" t="s">
        <v>874</v>
      </c>
      <c r="C24" s="91" t="s">
        <v>35</v>
      </c>
      <c r="D24" s="92"/>
      <c r="E24" s="93" t="s">
        <v>682</v>
      </c>
      <c r="F24" s="93" t="s">
        <v>617</v>
      </c>
      <c r="G24" s="92" t="s">
        <v>653</v>
      </c>
      <c r="H24" s="91" t="s">
        <v>582</v>
      </c>
      <c r="I24" s="91" t="s">
        <v>626</v>
      </c>
      <c r="J24" s="97"/>
      <c r="K24" s="91"/>
    </row>
    <row r="25" spans="1:11" ht="18.75" customHeight="1">
      <c r="A25" s="90">
        <f>SUBTOTAL(3,C$3:C25)</f>
        <v>23</v>
      </c>
      <c r="B25" s="91" t="s">
        <v>875</v>
      </c>
      <c r="C25" s="91" t="s">
        <v>35</v>
      </c>
      <c r="D25" s="92"/>
      <c r="E25" s="93" t="s">
        <v>397</v>
      </c>
      <c r="F25" s="93" t="s">
        <v>524</v>
      </c>
      <c r="G25" s="92" t="s">
        <v>655</v>
      </c>
      <c r="H25" s="91" t="s">
        <v>584</v>
      </c>
      <c r="I25" s="91" t="s">
        <v>627</v>
      </c>
      <c r="J25" s="97"/>
      <c r="K25" s="91"/>
    </row>
    <row r="26" spans="1:11" ht="18.75" customHeight="1">
      <c r="A26" s="90">
        <f>SUBTOTAL(3,C$3:C26)</f>
        <v>24</v>
      </c>
      <c r="B26" s="91" t="s">
        <v>875</v>
      </c>
      <c r="C26" s="91" t="s">
        <v>35</v>
      </c>
      <c r="D26" s="92"/>
      <c r="E26" s="93" t="s">
        <v>397</v>
      </c>
      <c r="F26" s="93" t="s">
        <v>524</v>
      </c>
      <c r="G26" s="92" t="s">
        <v>653</v>
      </c>
      <c r="H26" s="91" t="s">
        <v>585</v>
      </c>
      <c r="I26" s="91" t="s">
        <v>627</v>
      </c>
      <c r="J26" s="97"/>
      <c r="K26" s="91"/>
    </row>
    <row r="27" spans="1:11" ht="18.75" customHeight="1">
      <c r="A27" s="90">
        <f>SUBTOTAL(3,C$3:C27)</f>
        <v>25</v>
      </c>
      <c r="B27" s="91" t="s">
        <v>889</v>
      </c>
      <c r="C27" s="91" t="s">
        <v>35</v>
      </c>
      <c r="D27" s="92"/>
      <c r="E27" s="93" t="s">
        <v>397</v>
      </c>
      <c r="F27" s="93" t="s">
        <v>524</v>
      </c>
      <c r="G27" s="92" t="s">
        <v>656</v>
      </c>
      <c r="H27" s="91" t="s">
        <v>586</v>
      </c>
      <c r="I27" s="91" t="s">
        <v>627</v>
      </c>
      <c r="J27" s="97"/>
      <c r="K27" s="91"/>
    </row>
    <row r="28" spans="1:11" ht="18.75" customHeight="1">
      <c r="A28" s="90">
        <f>SUBTOTAL(3,C$3:C28)</f>
        <v>26</v>
      </c>
      <c r="B28" s="91" t="s">
        <v>889</v>
      </c>
      <c r="C28" s="91" t="s">
        <v>35</v>
      </c>
      <c r="D28" s="92"/>
      <c r="E28" s="93" t="s">
        <v>397</v>
      </c>
      <c r="F28" s="93" t="s">
        <v>524</v>
      </c>
      <c r="G28" s="92" t="s">
        <v>657</v>
      </c>
      <c r="H28" s="91" t="s">
        <v>587</v>
      </c>
      <c r="I28" s="91" t="s">
        <v>627</v>
      </c>
      <c r="J28" s="97"/>
      <c r="K28" s="91"/>
    </row>
    <row r="29" spans="1:11" ht="18.75" customHeight="1">
      <c r="A29" s="90">
        <f>SUBTOTAL(3,C$3:C29)</f>
        <v>27</v>
      </c>
      <c r="B29" s="91" t="s">
        <v>890</v>
      </c>
      <c r="C29" s="91" t="s">
        <v>35</v>
      </c>
      <c r="D29" s="92"/>
      <c r="E29" s="93" t="s">
        <v>397</v>
      </c>
      <c r="F29" s="93" t="s">
        <v>524</v>
      </c>
      <c r="G29" s="92" t="s">
        <v>658</v>
      </c>
      <c r="H29" s="91" t="s">
        <v>588</v>
      </c>
      <c r="I29" s="91" t="s">
        <v>627</v>
      </c>
      <c r="J29" s="97"/>
      <c r="K29" s="91"/>
    </row>
    <row r="30" spans="1:11" ht="18.75" customHeight="1">
      <c r="A30" s="90">
        <f>SUBTOTAL(3,C$3:C30)</f>
        <v>28</v>
      </c>
      <c r="B30" s="91" t="s">
        <v>891</v>
      </c>
      <c r="C30" s="91" t="s">
        <v>35</v>
      </c>
      <c r="D30" s="92"/>
      <c r="E30" s="93" t="s">
        <v>386</v>
      </c>
      <c r="F30" s="93" t="s">
        <v>73</v>
      </c>
      <c r="G30" s="92" t="s">
        <v>659</v>
      </c>
      <c r="H30" s="91" t="s">
        <v>589</v>
      </c>
      <c r="I30" s="91" t="s">
        <v>628</v>
      </c>
      <c r="J30" s="97"/>
      <c r="K30" s="91"/>
    </row>
    <row r="31" spans="1:11" ht="18.75" customHeight="1">
      <c r="A31" s="90">
        <f>SUBTOTAL(3,C$3:C31)</f>
        <v>29</v>
      </c>
      <c r="B31" s="91" t="s">
        <v>876</v>
      </c>
      <c r="C31" s="91" t="s">
        <v>35</v>
      </c>
      <c r="D31" s="92"/>
      <c r="E31" s="93" t="s">
        <v>684</v>
      </c>
      <c r="F31" s="93" t="s">
        <v>683</v>
      </c>
      <c r="G31" s="92" t="s">
        <v>660</v>
      </c>
      <c r="H31" s="91" t="s">
        <v>590</v>
      </c>
      <c r="I31" s="91"/>
      <c r="J31" s="97"/>
      <c r="K31" s="91"/>
    </row>
    <row r="32" spans="1:11" ht="18.75" customHeight="1">
      <c r="A32" s="90">
        <f>SUBTOTAL(3,C$3:C32)</f>
        <v>30</v>
      </c>
      <c r="B32" s="91" t="s">
        <v>891</v>
      </c>
      <c r="C32" s="91" t="s">
        <v>35</v>
      </c>
      <c r="D32" s="92"/>
      <c r="E32" s="93" t="s">
        <v>686</v>
      </c>
      <c r="F32" s="93" t="s">
        <v>685</v>
      </c>
      <c r="G32" s="92" t="s">
        <v>661</v>
      </c>
      <c r="H32" s="91" t="s">
        <v>591</v>
      </c>
      <c r="I32" s="91"/>
      <c r="J32" s="97"/>
      <c r="K32" s="91"/>
    </row>
    <row r="33" spans="1:11" ht="18.75" customHeight="1">
      <c r="A33" s="90">
        <f>SUBTOTAL(3,C$3:C33)</f>
        <v>31</v>
      </c>
      <c r="B33" s="91" t="s">
        <v>889</v>
      </c>
      <c r="C33" s="91" t="s">
        <v>35</v>
      </c>
      <c r="D33" s="92"/>
      <c r="E33" s="93" t="s">
        <v>681</v>
      </c>
      <c r="F33" s="93" t="s">
        <v>619</v>
      </c>
      <c r="G33" s="92" t="s">
        <v>662</v>
      </c>
      <c r="H33" s="91" t="s">
        <v>592</v>
      </c>
      <c r="I33" s="91" t="s">
        <v>629</v>
      </c>
      <c r="J33" s="97"/>
      <c r="K33" s="91"/>
    </row>
    <row r="34" spans="1:11" ht="18.75" customHeight="1">
      <c r="A34" s="90">
        <f>SUBTOTAL(3,C$3:C34)</f>
        <v>32</v>
      </c>
      <c r="B34" s="91" t="s">
        <v>877</v>
      </c>
      <c r="C34" s="91" t="s">
        <v>35</v>
      </c>
      <c r="D34" s="92"/>
      <c r="E34" s="93" t="s">
        <v>388</v>
      </c>
      <c r="F34" s="93" t="s">
        <v>29</v>
      </c>
      <c r="G34" s="92" t="s">
        <v>846</v>
      </c>
      <c r="H34" s="91" t="s">
        <v>595</v>
      </c>
      <c r="I34" s="91" t="s">
        <v>631</v>
      </c>
      <c r="J34" s="97"/>
      <c r="K34" s="91"/>
    </row>
    <row r="35" spans="1:11" ht="18.75" customHeight="1">
      <c r="A35" s="90">
        <f>SUBTOTAL(3,C$3:C35)</f>
        <v>33</v>
      </c>
      <c r="B35" s="91" t="s">
        <v>877</v>
      </c>
      <c r="C35" s="91" t="s">
        <v>35</v>
      </c>
      <c r="D35" s="92"/>
      <c r="E35" s="93" t="s">
        <v>388</v>
      </c>
      <c r="F35" s="93" t="s">
        <v>29</v>
      </c>
      <c r="G35" s="92" t="s">
        <v>847</v>
      </c>
      <c r="H35" s="91" t="s">
        <v>596</v>
      </c>
      <c r="I35" s="91" t="s">
        <v>631</v>
      </c>
      <c r="J35" s="97"/>
      <c r="K35" s="91"/>
    </row>
    <row r="36" spans="1:11" ht="18.75" customHeight="1">
      <c r="A36" s="90">
        <f>SUBTOTAL(3,C$3:C36)</f>
        <v>34</v>
      </c>
      <c r="B36" s="91" t="s">
        <v>877</v>
      </c>
      <c r="C36" s="91" t="s">
        <v>35</v>
      </c>
      <c r="D36" s="92"/>
      <c r="E36" s="93" t="s">
        <v>388</v>
      </c>
      <c r="F36" s="93" t="s">
        <v>29</v>
      </c>
      <c r="G36" s="92" t="s">
        <v>848</v>
      </c>
      <c r="H36" s="91" t="s">
        <v>597</v>
      </c>
      <c r="I36" s="91" t="s">
        <v>632</v>
      </c>
      <c r="J36" s="97"/>
      <c r="K36" s="91"/>
    </row>
    <row r="37" spans="1:11" ht="18.75" customHeight="1">
      <c r="A37" s="90">
        <f>SUBTOTAL(3,C$3:C37)</f>
        <v>35</v>
      </c>
      <c r="B37" s="91" t="s">
        <v>877</v>
      </c>
      <c r="C37" s="91" t="s">
        <v>35</v>
      </c>
      <c r="D37" s="92"/>
      <c r="E37" s="93" t="s">
        <v>388</v>
      </c>
      <c r="F37" s="93" t="s">
        <v>29</v>
      </c>
      <c r="G37" s="92" t="s">
        <v>848</v>
      </c>
      <c r="H37" s="91" t="s">
        <v>598</v>
      </c>
      <c r="I37" s="91" t="s">
        <v>632</v>
      </c>
      <c r="J37" s="97"/>
      <c r="K37" s="91"/>
    </row>
    <row r="38" spans="1:11" ht="18.75" customHeight="1">
      <c r="A38" s="90">
        <f>SUBTOTAL(3,C$3:C38)</f>
        <v>36</v>
      </c>
      <c r="B38" s="91" t="s">
        <v>877</v>
      </c>
      <c r="C38" s="91" t="s">
        <v>35</v>
      </c>
      <c r="D38" s="92"/>
      <c r="E38" s="93" t="s">
        <v>388</v>
      </c>
      <c r="F38" s="93" t="s">
        <v>29</v>
      </c>
      <c r="G38" s="92" t="s">
        <v>848</v>
      </c>
      <c r="H38" s="91" t="s">
        <v>599</v>
      </c>
      <c r="I38" s="91" t="s">
        <v>632</v>
      </c>
      <c r="J38" s="97"/>
      <c r="K38" s="91"/>
    </row>
    <row r="39" spans="1:11" ht="18.75" customHeight="1">
      <c r="A39" s="90">
        <f>SUBTOTAL(3,C$3:C39)</f>
        <v>37</v>
      </c>
      <c r="B39" s="91" t="s">
        <v>877</v>
      </c>
      <c r="C39" s="91" t="s">
        <v>35</v>
      </c>
      <c r="D39" s="92"/>
      <c r="E39" s="93" t="s">
        <v>388</v>
      </c>
      <c r="F39" s="93" t="s">
        <v>29</v>
      </c>
      <c r="G39" s="92" t="s">
        <v>849</v>
      </c>
      <c r="H39" s="91" t="s">
        <v>602</v>
      </c>
      <c r="I39" s="91" t="s">
        <v>634</v>
      </c>
      <c r="J39" s="97"/>
      <c r="K39" s="91"/>
    </row>
    <row r="40" spans="1:11" ht="18.75" customHeight="1">
      <c r="A40" s="90">
        <f>SUBTOTAL(3,C$3:C40)</f>
        <v>38</v>
      </c>
      <c r="B40" s="91" t="s">
        <v>877</v>
      </c>
      <c r="C40" s="91" t="s">
        <v>35</v>
      </c>
      <c r="D40" s="92"/>
      <c r="E40" s="93" t="s">
        <v>388</v>
      </c>
      <c r="F40" s="93" t="s">
        <v>29</v>
      </c>
      <c r="G40" s="92" t="s">
        <v>850</v>
      </c>
      <c r="H40" s="91" t="s">
        <v>603</v>
      </c>
      <c r="I40" s="91" t="s">
        <v>635</v>
      </c>
      <c r="J40" s="97"/>
      <c r="K40" s="91"/>
    </row>
    <row r="41" spans="1:11" ht="18.75" customHeight="1">
      <c r="A41" s="90">
        <f>SUBTOTAL(3,C$3:C41)</f>
        <v>39</v>
      </c>
      <c r="B41" s="91" t="s">
        <v>877</v>
      </c>
      <c r="C41" s="91" t="s">
        <v>35</v>
      </c>
      <c r="D41" s="92"/>
      <c r="E41" s="93" t="s">
        <v>388</v>
      </c>
      <c r="F41" s="93" t="s">
        <v>29</v>
      </c>
      <c r="G41" s="92" t="s">
        <v>850</v>
      </c>
      <c r="H41" s="91" t="s">
        <v>604</v>
      </c>
      <c r="I41" s="91" t="s">
        <v>635</v>
      </c>
      <c r="J41" s="97"/>
      <c r="K41" s="91"/>
    </row>
    <row r="42" spans="1:11" ht="18.75" customHeight="1">
      <c r="A42" s="90">
        <f>SUBTOTAL(3,C$3:C42)</f>
        <v>40</v>
      </c>
      <c r="B42" s="91" t="s">
        <v>878</v>
      </c>
      <c r="C42" s="91" t="s">
        <v>35</v>
      </c>
      <c r="D42" s="92"/>
      <c r="E42" s="93" t="s">
        <v>388</v>
      </c>
      <c r="F42" s="93" t="s">
        <v>29</v>
      </c>
      <c r="G42" s="92" t="s">
        <v>848</v>
      </c>
      <c r="H42" s="91" t="s">
        <v>605</v>
      </c>
      <c r="I42" s="91" t="s">
        <v>632</v>
      </c>
      <c r="J42" s="97"/>
      <c r="K42" s="91"/>
    </row>
    <row r="43" spans="1:11" ht="18.75" customHeight="1">
      <c r="A43" s="90">
        <f>SUBTOTAL(3,C$3:C43)</f>
        <v>41</v>
      </c>
      <c r="B43" s="91" t="s">
        <v>892</v>
      </c>
      <c r="C43" s="91" t="s">
        <v>35</v>
      </c>
      <c r="D43" s="92"/>
      <c r="E43" s="93" t="s">
        <v>388</v>
      </c>
      <c r="F43" s="93" t="s">
        <v>29</v>
      </c>
      <c r="G43" s="92" t="s">
        <v>848</v>
      </c>
      <c r="H43" s="91" t="s">
        <v>606</v>
      </c>
      <c r="I43" s="91" t="s">
        <v>632</v>
      </c>
      <c r="J43" s="97"/>
      <c r="K43" s="91"/>
    </row>
    <row r="44" spans="1:11" ht="18.75" customHeight="1">
      <c r="A44" s="90">
        <f>SUBTOTAL(3,C$3:C44)</f>
        <v>42</v>
      </c>
      <c r="B44" s="91" t="s">
        <v>892</v>
      </c>
      <c r="C44" s="91" t="s">
        <v>35</v>
      </c>
      <c r="D44" s="92"/>
      <c r="E44" s="93" t="s">
        <v>388</v>
      </c>
      <c r="F44" s="93" t="s">
        <v>29</v>
      </c>
      <c r="G44" s="92" t="s">
        <v>851</v>
      </c>
      <c r="H44" s="91" t="s">
        <v>607</v>
      </c>
      <c r="I44" s="91" t="s">
        <v>633</v>
      </c>
      <c r="J44" s="97"/>
      <c r="K44" s="91"/>
    </row>
    <row r="45" spans="1:11" ht="18.75" customHeight="1">
      <c r="A45" s="90">
        <f>SUBTOTAL(3,C$3:C45)</f>
        <v>43</v>
      </c>
      <c r="B45" s="91" t="s">
        <v>879</v>
      </c>
      <c r="C45" s="91" t="s">
        <v>35</v>
      </c>
      <c r="D45" s="92"/>
      <c r="E45" s="93" t="s">
        <v>388</v>
      </c>
      <c r="F45" s="93" t="s">
        <v>29</v>
      </c>
      <c r="G45" s="92" t="s">
        <v>852</v>
      </c>
      <c r="H45" s="91" t="s">
        <v>608</v>
      </c>
      <c r="I45" s="91" t="s">
        <v>633</v>
      </c>
      <c r="J45" s="97"/>
      <c r="K45" s="91"/>
    </row>
    <row r="46" spans="1:11" ht="18.75" customHeight="1">
      <c r="A46" s="90">
        <f>SUBTOTAL(3,C$3:C46)</f>
        <v>44</v>
      </c>
      <c r="B46" s="91" t="s">
        <v>879</v>
      </c>
      <c r="C46" s="91" t="s">
        <v>35</v>
      </c>
      <c r="D46" s="92"/>
      <c r="E46" s="93" t="s">
        <v>388</v>
      </c>
      <c r="F46" s="93" t="s">
        <v>29</v>
      </c>
      <c r="G46" s="92" t="s">
        <v>851</v>
      </c>
      <c r="H46" s="91" t="s">
        <v>609</v>
      </c>
      <c r="I46" s="91" t="s">
        <v>633</v>
      </c>
      <c r="J46" s="97"/>
      <c r="K46" s="91"/>
    </row>
    <row r="47" spans="1:11" ht="18.75" customHeight="1">
      <c r="A47" s="90">
        <f>SUBTOTAL(3,C$3:C47)</f>
        <v>45</v>
      </c>
      <c r="B47" s="91" t="s">
        <v>878</v>
      </c>
      <c r="C47" s="91" t="s">
        <v>35</v>
      </c>
      <c r="D47" s="92"/>
      <c r="E47" s="93" t="s">
        <v>388</v>
      </c>
      <c r="F47" s="93" t="s">
        <v>29</v>
      </c>
      <c r="G47" s="92" t="s">
        <v>853</v>
      </c>
      <c r="H47" s="91" t="s">
        <v>610</v>
      </c>
      <c r="I47" s="91" t="s">
        <v>633</v>
      </c>
      <c r="J47" s="97"/>
      <c r="K47" s="91"/>
    </row>
    <row r="48" spans="1:11" ht="18.75" customHeight="1">
      <c r="A48" s="90">
        <f>SUBTOTAL(3,C$3:C48)</f>
        <v>46</v>
      </c>
      <c r="B48" s="91" t="s">
        <v>892</v>
      </c>
      <c r="C48" s="91" t="s">
        <v>35</v>
      </c>
      <c r="D48" s="92"/>
      <c r="E48" s="93" t="s">
        <v>388</v>
      </c>
      <c r="F48" s="93" t="s">
        <v>29</v>
      </c>
      <c r="G48" s="92" t="s">
        <v>852</v>
      </c>
      <c r="H48" s="91" t="s">
        <v>612</v>
      </c>
      <c r="I48" s="91" t="s">
        <v>633</v>
      </c>
      <c r="J48" s="97"/>
      <c r="K48" s="91"/>
    </row>
    <row r="49" spans="1:11" ht="18.75" customHeight="1">
      <c r="A49" s="90">
        <f>SUBTOTAL(3,C$3:C49)</f>
        <v>47</v>
      </c>
      <c r="B49" s="91" t="s">
        <v>892</v>
      </c>
      <c r="C49" s="91" t="s">
        <v>35</v>
      </c>
      <c r="D49" s="92"/>
      <c r="E49" s="93" t="s">
        <v>388</v>
      </c>
      <c r="F49" s="93" t="s">
        <v>29</v>
      </c>
      <c r="G49" s="92" t="s">
        <v>854</v>
      </c>
      <c r="H49" s="91" t="s">
        <v>613</v>
      </c>
      <c r="I49" s="91" t="s">
        <v>636</v>
      </c>
      <c r="J49" s="97"/>
      <c r="K49" s="91"/>
    </row>
    <row r="50" spans="1:11" ht="18.75" customHeight="1">
      <c r="A50" s="90">
        <f>SUBTOTAL(3,C$3:C50)</f>
        <v>48</v>
      </c>
      <c r="B50" s="91" t="s">
        <v>879</v>
      </c>
      <c r="C50" s="91" t="s">
        <v>35</v>
      </c>
      <c r="D50" s="92"/>
      <c r="E50" s="93" t="s">
        <v>388</v>
      </c>
      <c r="F50" s="93" t="s">
        <v>29</v>
      </c>
      <c r="G50" s="92" t="s">
        <v>667</v>
      </c>
      <c r="H50" s="91" t="s">
        <v>614</v>
      </c>
      <c r="I50" s="91" t="s">
        <v>635</v>
      </c>
      <c r="J50" s="97"/>
      <c r="K50" s="91"/>
    </row>
    <row r="51" spans="1:11" ht="18.75" customHeight="1">
      <c r="A51" s="90">
        <f>SUBTOTAL(3,C$3:C51)</f>
        <v>49</v>
      </c>
      <c r="B51" s="91" t="s">
        <v>892</v>
      </c>
      <c r="C51" s="91" t="s">
        <v>35</v>
      </c>
      <c r="D51" s="92"/>
      <c r="E51" s="93" t="s">
        <v>388</v>
      </c>
      <c r="F51" s="93" t="s">
        <v>29</v>
      </c>
      <c r="G51" s="92" t="s">
        <v>848</v>
      </c>
      <c r="H51" s="91" t="s">
        <v>749</v>
      </c>
      <c r="I51" s="91" t="s">
        <v>632</v>
      </c>
      <c r="J51" s="97"/>
      <c r="K51" s="91"/>
    </row>
    <row r="52" spans="1:11" ht="18.75" customHeight="1">
      <c r="A52" s="95">
        <f>SUBTOTAL(3,C$3:C98)</f>
        <v>82</v>
      </c>
      <c r="B52" s="91" t="s">
        <v>892</v>
      </c>
      <c r="C52" s="91" t="s">
        <v>35</v>
      </c>
      <c r="D52" s="92"/>
      <c r="E52" s="93" t="s">
        <v>388</v>
      </c>
      <c r="F52" s="93" t="s">
        <v>29</v>
      </c>
      <c r="G52" s="92" t="s">
        <v>848</v>
      </c>
      <c r="H52" s="91" t="s">
        <v>750</v>
      </c>
      <c r="I52" s="91" t="s">
        <v>632</v>
      </c>
      <c r="J52" s="97"/>
      <c r="K52" s="91"/>
    </row>
    <row r="53" spans="1:11" ht="18.75" customHeight="1">
      <c r="A53" s="95">
        <f>SUBTOTAL(3,C$3:C98)</f>
        <v>82</v>
      </c>
      <c r="B53" s="91" t="s">
        <v>871</v>
      </c>
      <c r="C53" s="91" t="s">
        <v>35</v>
      </c>
      <c r="D53" s="92"/>
      <c r="E53" s="93" t="s">
        <v>400</v>
      </c>
      <c r="F53" s="93" t="s">
        <v>615</v>
      </c>
      <c r="G53" s="92" t="s">
        <v>855</v>
      </c>
      <c r="H53" s="91" t="s">
        <v>751</v>
      </c>
      <c r="I53" s="94" t="s">
        <v>765</v>
      </c>
      <c r="J53" s="97"/>
      <c r="K53" s="91"/>
    </row>
    <row r="54" spans="1:11" ht="18.75" customHeight="1">
      <c r="A54" s="95">
        <f>SUBTOTAL(3,C$3:C54)</f>
        <v>52</v>
      </c>
      <c r="B54" s="91" t="s">
        <v>870</v>
      </c>
      <c r="C54" s="91" t="s">
        <v>35</v>
      </c>
      <c r="D54" s="92"/>
      <c r="E54" s="93" t="s">
        <v>400</v>
      </c>
      <c r="F54" s="93" t="s">
        <v>615</v>
      </c>
      <c r="G54" s="92" t="s">
        <v>856</v>
      </c>
      <c r="H54" s="91" t="s">
        <v>813</v>
      </c>
      <c r="I54" s="94" t="s">
        <v>814</v>
      </c>
      <c r="J54" s="97"/>
      <c r="K54" s="91"/>
    </row>
    <row r="55" spans="1:11" ht="18.75" customHeight="1">
      <c r="A55" s="95">
        <f>SUBTOTAL(3,C$3:C55)</f>
        <v>53</v>
      </c>
      <c r="B55" s="91" t="s">
        <v>874</v>
      </c>
      <c r="C55" s="91" t="s">
        <v>35</v>
      </c>
      <c r="D55" s="92"/>
      <c r="E55" s="93" t="s">
        <v>400</v>
      </c>
      <c r="F55" s="93" t="s">
        <v>615</v>
      </c>
      <c r="G55" s="92" t="s">
        <v>694</v>
      </c>
      <c r="H55" s="91" t="s">
        <v>838</v>
      </c>
      <c r="I55" s="94" t="s">
        <v>839</v>
      </c>
      <c r="J55" s="97"/>
      <c r="K55" s="91"/>
    </row>
    <row r="56" spans="1:11" ht="22.5" customHeight="1">
      <c r="A56" s="95">
        <f>SUBTOTAL(3,C$3:C56)</f>
        <v>54</v>
      </c>
      <c r="B56" s="91"/>
      <c r="C56" s="91" t="s">
        <v>489</v>
      </c>
      <c r="D56" s="91" t="s">
        <v>11</v>
      </c>
      <c r="E56" s="93" t="s">
        <v>393</v>
      </c>
      <c r="F56" s="93" t="s">
        <v>202</v>
      </c>
      <c r="G56" s="92" t="s">
        <v>783</v>
      </c>
      <c r="H56" s="91" t="s">
        <v>773</v>
      </c>
      <c r="I56" s="96"/>
      <c r="J56" s="97"/>
      <c r="K56" s="91" t="s">
        <v>774</v>
      </c>
    </row>
    <row r="57" spans="1:11" ht="23.25" customHeight="1">
      <c r="A57" s="95">
        <f>SUBTOTAL(3,C$3:C57)</f>
        <v>55</v>
      </c>
      <c r="B57" s="91" t="s">
        <v>775</v>
      </c>
      <c r="C57" s="91" t="s">
        <v>489</v>
      </c>
      <c r="D57" s="91" t="s">
        <v>35</v>
      </c>
      <c r="E57" s="93" t="s">
        <v>393</v>
      </c>
      <c r="F57" s="93" t="s">
        <v>202</v>
      </c>
      <c r="G57" s="92" t="s">
        <v>783</v>
      </c>
      <c r="H57" s="91" t="s">
        <v>776</v>
      </c>
      <c r="I57" s="96"/>
      <c r="J57" s="97"/>
      <c r="K57" s="91" t="s">
        <v>777</v>
      </c>
    </row>
    <row r="58" spans="1:11" ht="23.25" customHeight="1">
      <c r="A58" s="95">
        <f>SUBTOTAL(3,C$3:C58)</f>
        <v>56</v>
      </c>
      <c r="B58" s="91" t="s">
        <v>775</v>
      </c>
      <c r="C58" s="91" t="s">
        <v>489</v>
      </c>
      <c r="D58" s="91" t="s">
        <v>35</v>
      </c>
      <c r="E58" s="93" t="s">
        <v>393</v>
      </c>
      <c r="F58" s="93" t="s">
        <v>202</v>
      </c>
      <c r="G58" s="92" t="s">
        <v>783</v>
      </c>
      <c r="H58" s="91" t="s">
        <v>778</v>
      </c>
      <c r="I58" s="96"/>
      <c r="J58" s="97"/>
      <c r="K58" s="91" t="s">
        <v>779</v>
      </c>
    </row>
    <row r="59" spans="1:11" ht="23.25" customHeight="1">
      <c r="A59" s="95">
        <f>SUBTOTAL(3,C$3:C59)</f>
        <v>57</v>
      </c>
      <c r="B59" s="91" t="s">
        <v>780</v>
      </c>
      <c r="C59" s="91" t="s">
        <v>489</v>
      </c>
      <c r="D59" s="91" t="s">
        <v>11</v>
      </c>
      <c r="E59" s="93" t="s">
        <v>387</v>
      </c>
      <c r="F59" s="93" t="s">
        <v>186</v>
      </c>
      <c r="G59" s="92" t="s">
        <v>857</v>
      </c>
      <c r="H59" s="91" t="s">
        <v>781</v>
      </c>
      <c r="I59" s="94" t="s">
        <v>782</v>
      </c>
      <c r="J59" s="97"/>
      <c r="K59" s="91" t="s">
        <v>784</v>
      </c>
    </row>
    <row r="60" spans="1:11" ht="23.25" customHeight="1">
      <c r="A60" s="95">
        <f>SUBTOTAL(3,C$3:C60)</f>
        <v>58</v>
      </c>
      <c r="B60" s="97" t="s">
        <v>816</v>
      </c>
      <c r="C60" s="91" t="s">
        <v>489</v>
      </c>
      <c r="D60" s="91" t="s">
        <v>788</v>
      </c>
      <c r="E60" s="93" t="s">
        <v>385</v>
      </c>
      <c r="F60" s="93" t="s">
        <v>231</v>
      </c>
      <c r="G60" s="92" t="s">
        <v>858</v>
      </c>
      <c r="H60" s="91" t="s">
        <v>790</v>
      </c>
      <c r="I60" s="91" t="s">
        <v>816</v>
      </c>
      <c r="J60" s="97"/>
      <c r="K60" s="91"/>
    </row>
    <row r="61" spans="1:11" ht="23.25" customHeight="1">
      <c r="A61" s="95">
        <f>SUBTOTAL(3,C$3:C61)</f>
        <v>59</v>
      </c>
      <c r="B61" s="97" t="s">
        <v>881</v>
      </c>
      <c r="C61" s="91" t="s">
        <v>489</v>
      </c>
      <c r="D61" s="91" t="s">
        <v>788</v>
      </c>
      <c r="E61" s="93" t="s">
        <v>810</v>
      </c>
      <c r="F61" s="93" t="s">
        <v>231</v>
      </c>
      <c r="G61" s="92" t="s">
        <v>858</v>
      </c>
      <c r="H61" s="91" t="s">
        <v>791</v>
      </c>
      <c r="I61" s="91" t="s">
        <v>817</v>
      </c>
      <c r="J61" s="97"/>
      <c r="K61" s="91"/>
    </row>
    <row r="62" spans="1:11" ht="23.25" customHeight="1">
      <c r="A62" s="95">
        <f>SUBTOTAL(3,C$3:C62)</f>
        <v>60</v>
      </c>
      <c r="B62" s="97" t="s">
        <v>818</v>
      </c>
      <c r="C62" s="91" t="s">
        <v>489</v>
      </c>
      <c r="D62" s="91" t="s">
        <v>788</v>
      </c>
      <c r="E62" s="93" t="s">
        <v>810</v>
      </c>
      <c r="F62" s="93" t="s">
        <v>231</v>
      </c>
      <c r="G62" s="92" t="s">
        <v>858</v>
      </c>
      <c r="H62" s="91" t="s">
        <v>792</v>
      </c>
      <c r="I62" s="91" t="s">
        <v>818</v>
      </c>
      <c r="J62" s="97"/>
      <c r="K62" s="91"/>
    </row>
    <row r="63" spans="1:11" ht="23.25" customHeight="1">
      <c r="A63" s="95">
        <f>SUBTOTAL(3,C$3:C63)</f>
        <v>61</v>
      </c>
      <c r="B63" s="97" t="s">
        <v>816</v>
      </c>
      <c r="C63" s="91" t="s">
        <v>489</v>
      </c>
      <c r="D63" s="91" t="s">
        <v>788</v>
      </c>
      <c r="E63" s="93" t="s">
        <v>810</v>
      </c>
      <c r="F63" s="93" t="s">
        <v>231</v>
      </c>
      <c r="G63" s="92" t="s">
        <v>858</v>
      </c>
      <c r="H63" s="91" t="s">
        <v>793</v>
      </c>
      <c r="I63" s="91" t="s">
        <v>816</v>
      </c>
      <c r="J63" s="97"/>
      <c r="K63" s="91"/>
    </row>
    <row r="64" spans="1:11" ht="23.25" customHeight="1">
      <c r="A64" s="95">
        <f>SUBTOTAL(3,C$3:C64)</f>
        <v>62</v>
      </c>
      <c r="B64" s="97" t="s">
        <v>818</v>
      </c>
      <c r="C64" s="91" t="s">
        <v>489</v>
      </c>
      <c r="D64" s="91" t="s">
        <v>788</v>
      </c>
      <c r="E64" s="93" t="s">
        <v>810</v>
      </c>
      <c r="F64" s="93" t="s">
        <v>231</v>
      </c>
      <c r="G64" s="92" t="s">
        <v>858</v>
      </c>
      <c r="H64" s="91" t="s">
        <v>794</v>
      </c>
      <c r="I64" s="91" t="s">
        <v>818</v>
      </c>
      <c r="J64" s="97"/>
      <c r="K64" s="91"/>
    </row>
    <row r="65" spans="1:11" ht="23.25" customHeight="1">
      <c r="A65" s="95">
        <f>SUBTOTAL(3,C$3:C65)</f>
        <v>63</v>
      </c>
      <c r="B65" s="97" t="s">
        <v>818</v>
      </c>
      <c r="C65" s="91" t="s">
        <v>489</v>
      </c>
      <c r="D65" s="91" t="s">
        <v>788</v>
      </c>
      <c r="E65" s="93" t="s">
        <v>810</v>
      </c>
      <c r="F65" s="93" t="s">
        <v>231</v>
      </c>
      <c r="G65" s="92" t="s">
        <v>858</v>
      </c>
      <c r="H65" s="91" t="s">
        <v>789</v>
      </c>
      <c r="I65" s="91" t="s">
        <v>818</v>
      </c>
      <c r="J65" s="97"/>
      <c r="K65" s="91"/>
    </row>
    <row r="66" spans="1:11" ht="23.25" customHeight="1">
      <c r="A66" s="95">
        <f>SUBTOTAL(3,C$3:C66)</f>
        <v>64</v>
      </c>
      <c r="B66" s="97" t="s">
        <v>819</v>
      </c>
      <c r="C66" s="91" t="s">
        <v>489</v>
      </c>
      <c r="D66" s="91" t="s">
        <v>788</v>
      </c>
      <c r="E66" s="93" t="s">
        <v>810</v>
      </c>
      <c r="F66" s="93" t="s">
        <v>231</v>
      </c>
      <c r="G66" s="92" t="s">
        <v>300</v>
      </c>
      <c r="H66" s="91" t="s">
        <v>795</v>
      </c>
      <c r="I66" s="91" t="s">
        <v>819</v>
      </c>
      <c r="J66" s="97"/>
      <c r="K66" s="91"/>
    </row>
    <row r="67" spans="1:11" ht="23.25" customHeight="1">
      <c r="A67" s="95">
        <f>SUBTOTAL(3,C$3:C67)</f>
        <v>65</v>
      </c>
      <c r="B67" s="97" t="s">
        <v>819</v>
      </c>
      <c r="C67" s="91" t="s">
        <v>489</v>
      </c>
      <c r="D67" s="91" t="s">
        <v>788</v>
      </c>
      <c r="E67" s="93" t="s">
        <v>810</v>
      </c>
      <c r="F67" s="93" t="s">
        <v>231</v>
      </c>
      <c r="G67" s="92" t="s">
        <v>859</v>
      </c>
      <c r="H67" s="91" t="s">
        <v>796</v>
      </c>
      <c r="I67" s="91" t="s">
        <v>819</v>
      </c>
      <c r="J67" s="97"/>
      <c r="K67" s="91"/>
    </row>
    <row r="68" spans="1:11" ht="23.25" customHeight="1">
      <c r="A68" s="95">
        <f>SUBTOTAL(3,C$3:C68)</f>
        <v>66</v>
      </c>
      <c r="B68" s="97" t="s">
        <v>818</v>
      </c>
      <c r="C68" s="91" t="s">
        <v>489</v>
      </c>
      <c r="D68" s="91" t="s">
        <v>788</v>
      </c>
      <c r="E68" s="93" t="s">
        <v>810</v>
      </c>
      <c r="F68" s="93" t="s">
        <v>231</v>
      </c>
      <c r="G68" s="92" t="s">
        <v>860</v>
      </c>
      <c r="H68" s="91" t="s">
        <v>797</v>
      </c>
      <c r="I68" s="91" t="s">
        <v>818</v>
      </c>
      <c r="J68" s="97"/>
      <c r="K68" s="91"/>
    </row>
    <row r="69" spans="1:11" ht="23.25" customHeight="1">
      <c r="A69" s="95">
        <f>SUBTOTAL(3,C$3:C69)</f>
        <v>67</v>
      </c>
      <c r="B69" s="97" t="s">
        <v>819</v>
      </c>
      <c r="C69" s="91" t="s">
        <v>489</v>
      </c>
      <c r="D69" s="91" t="s">
        <v>788</v>
      </c>
      <c r="E69" s="93" t="s">
        <v>810</v>
      </c>
      <c r="F69" s="93" t="s">
        <v>231</v>
      </c>
      <c r="G69" s="92" t="s">
        <v>861</v>
      </c>
      <c r="H69" s="91" t="s">
        <v>799</v>
      </c>
      <c r="I69" s="94" t="s">
        <v>819</v>
      </c>
      <c r="J69" s="97"/>
      <c r="K69" s="91"/>
    </row>
    <row r="70" spans="1:11" ht="23.25" customHeight="1">
      <c r="A70" s="95">
        <f>SUBTOTAL(3,C$3:C70)</f>
        <v>68</v>
      </c>
      <c r="B70" s="97" t="s">
        <v>819</v>
      </c>
      <c r="C70" s="91" t="s">
        <v>489</v>
      </c>
      <c r="D70" s="91" t="s">
        <v>788</v>
      </c>
      <c r="E70" s="93" t="s">
        <v>810</v>
      </c>
      <c r="F70" s="93" t="s">
        <v>231</v>
      </c>
      <c r="G70" s="92" t="s">
        <v>861</v>
      </c>
      <c r="H70" s="91" t="s">
        <v>800</v>
      </c>
      <c r="I70" s="94" t="s">
        <v>819</v>
      </c>
      <c r="J70" s="97"/>
      <c r="K70" s="91"/>
    </row>
    <row r="71" spans="1:11" ht="23.25" customHeight="1">
      <c r="A71" s="95">
        <f>SUBTOTAL(3,C$3:C71)</f>
        <v>69</v>
      </c>
      <c r="B71" s="97" t="s">
        <v>819</v>
      </c>
      <c r="C71" s="91" t="s">
        <v>489</v>
      </c>
      <c r="D71" s="91" t="s">
        <v>788</v>
      </c>
      <c r="E71" s="93" t="s">
        <v>810</v>
      </c>
      <c r="F71" s="93" t="s">
        <v>231</v>
      </c>
      <c r="G71" s="92" t="s">
        <v>861</v>
      </c>
      <c r="H71" s="91" t="s">
        <v>801</v>
      </c>
      <c r="I71" s="94" t="s">
        <v>819</v>
      </c>
      <c r="J71" s="97"/>
      <c r="K71" s="91"/>
    </row>
    <row r="72" spans="1:11" ht="23.25" customHeight="1">
      <c r="A72" s="95">
        <f>SUBTOTAL(3,C$3:C72)</f>
        <v>70</v>
      </c>
      <c r="B72" s="97" t="s">
        <v>818</v>
      </c>
      <c r="C72" s="94" t="s">
        <v>489</v>
      </c>
      <c r="D72" s="94" t="s">
        <v>788</v>
      </c>
      <c r="E72" s="103" t="s">
        <v>810</v>
      </c>
      <c r="F72" s="103" t="s">
        <v>231</v>
      </c>
      <c r="G72" s="104" t="s">
        <v>859</v>
      </c>
      <c r="H72" s="94" t="s">
        <v>798</v>
      </c>
      <c r="I72" s="96" t="s">
        <v>818</v>
      </c>
      <c r="J72" s="105"/>
      <c r="K72" s="94"/>
    </row>
    <row r="73" spans="1:11" ht="23.25" customHeight="1">
      <c r="A73" s="95">
        <f>SUBTOTAL(3,C$3:C73)</f>
        <v>71</v>
      </c>
      <c r="B73" s="97" t="s">
        <v>818</v>
      </c>
      <c r="C73" s="94" t="s">
        <v>489</v>
      </c>
      <c r="D73" s="94" t="s">
        <v>788</v>
      </c>
      <c r="E73" s="103" t="s">
        <v>810</v>
      </c>
      <c r="F73" s="103" t="s">
        <v>231</v>
      </c>
      <c r="G73" s="104" t="s">
        <v>862</v>
      </c>
      <c r="H73" s="94" t="s">
        <v>802</v>
      </c>
      <c r="I73" s="96" t="s">
        <v>818</v>
      </c>
      <c r="J73" s="105"/>
      <c r="K73" s="94"/>
    </row>
    <row r="74" spans="1:11" ht="23.25" customHeight="1">
      <c r="A74" s="95">
        <f>SUBTOTAL(3,C$3:C74)</f>
        <v>72</v>
      </c>
      <c r="B74" s="98"/>
      <c r="C74" s="94" t="s">
        <v>489</v>
      </c>
      <c r="D74" s="94" t="s">
        <v>788</v>
      </c>
      <c r="E74" s="103" t="s">
        <v>387</v>
      </c>
      <c r="F74" s="103" t="s">
        <v>186</v>
      </c>
      <c r="G74" s="104" t="s">
        <v>863</v>
      </c>
      <c r="H74" s="96" t="s">
        <v>812</v>
      </c>
      <c r="I74" s="96"/>
      <c r="J74" s="105"/>
      <c r="K74" s="94"/>
    </row>
    <row r="75" spans="1:11" ht="23.25" customHeight="1">
      <c r="A75" s="95">
        <f>SUBTOTAL(3,C$3:C75)</f>
        <v>73</v>
      </c>
      <c r="B75" s="98"/>
      <c r="C75" s="94" t="s">
        <v>489</v>
      </c>
      <c r="D75" s="94" t="s">
        <v>788</v>
      </c>
      <c r="E75" s="103" t="s">
        <v>387</v>
      </c>
      <c r="F75" s="103" t="s">
        <v>186</v>
      </c>
      <c r="G75" s="104" t="s">
        <v>863</v>
      </c>
      <c r="H75" s="99" t="s">
        <v>787</v>
      </c>
      <c r="I75" s="96"/>
      <c r="J75" s="105"/>
      <c r="K75" s="94"/>
    </row>
    <row r="76" spans="1:11" ht="23.25" customHeight="1">
      <c r="A76" s="95">
        <f>SUBTOTAL(3,C$3:C76)</f>
        <v>74</v>
      </c>
      <c r="B76" s="97" t="s">
        <v>882</v>
      </c>
      <c r="C76" s="91" t="s">
        <v>489</v>
      </c>
      <c r="D76" s="91" t="s">
        <v>788</v>
      </c>
      <c r="E76" s="93" t="s">
        <v>393</v>
      </c>
      <c r="F76" s="93" t="s">
        <v>202</v>
      </c>
      <c r="G76" s="92" t="s">
        <v>864</v>
      </c>
      <c r="H76" s="91" t="s">
        <v>805</v>
      </c>
      <c r="I76" s="94"/>
      <c r="J76" s="105"/>
      <c r="K76" s="94"/>
    </row>
    <row r="77" spans="1:11" ht="23.25" customHeight="1">
      <c r="A77" s="95">
        <f>SUBTOTAL(3,C$3:C77)</f>
        <v>75</v>
      </c>
      <c r="B77" s="98"/>
      <c r="C77" s="94" t="s">
        <v>489</v>
      </c>
      <c r="D77" s="94" t="s">
        <v>788</v>
      </c>
      <c r="E77" s="103" t="s">
        <v>393</v>
      </c>
      <c r="F77" s="103" t="s">
        <v>202</v>
      </c>
      <c r="G77" s="104" t="s">
        <v>783</v>
      </c>
      <c r="H77" s="94" t="s">
        <v>803</v>
      </c>
      <c r="I77" s="96"/>
      <c r="J77" s="105"/>
      <c r="K77" s="94"/>
    </row>
    <row r="78" spans="1:11" ht="23.25" customHeight="1">
      <c r="A78" s="95">
        <f>SUBTOTAL(3,C$3:C78)</f>
        <v>76</v>
      </c>
      <c r="B78" s="98"/>
      <c r="C78" s="94" t="s">
        <v>489</v>
      </c>
      <c r="D78" s="94" t="s">
        <v>788</v>
      </c>
      <c r="E78" s="103" t="s">
        <v>393</v>
      </c>
      <c r="F78" s="103" t="s">
        <v>202</v>
      </c>
      <c r="G78" s="104" t="s">
        <v>865</v>
      </c>
      <c r="H78" s="94" t="s">
        <v>804</v>
      </c>
      <c r="I78" s="96"/>
      <c r="J78" s="105"/>
      <c r="K78" s="94"/>
    </row>
    <row r="79" spans="1:11" ht="23.25" customHeight="1">
      <c r="A79" s="95">
        <f>SUBTOTAL(3,C$3:C79)</f>
        <v>77</v>
      </c>
      <c r="B79" s="98"/>
      <c r="C79" s="94" t="s">
        <v>489</v>
      </c>
      <c r="D79" s="94" t="s">
        <v>788</v>
      </c>
      <c r="E79" s="103" t="s">
        <v>393</v>
      </c>
      <c r="F79" s="103" t="s">
        <v>202</v>
      </c>
      <c r="G79" s="104" t="s">
        <v>865</v>
      </c>
      <c r="H79" s="94" t="s">
        <v>806</v>
      </c>
      <c r="I79" s="96"/>
      <c r="J79" s="105"/>
      <c r="K79" s="94"/>
    </row>
    <row r="80" spans="1:11" ht="23.25" customHeight="1">
      <c r="A80" s="95">
        <f>SUBTOTAL(3,C$3:C80)</f>
        <v>78</v>
      </c>
      <c r="B80" s="98"/>
      <c r="C80" s="94" t="s">
        <v>489</v>
      </c>
      <c r="D80" s="94" t="s">
        <v>788</v>
      </c>
      <c r="E80" s="103" t="s">
        <v>393</v>
      </c>
      <c r="F80" s="103" t="s">
        <v>202</v>
      </c>
      <c r="G80" s="104" t="s">
        <v>864</v>
      </c>
      <c r="H80" s="94" t="s">
        <v>785</v>
      </c>
      <c r="I80" s="96"/>
      <c r="J80" s="105"/>
      <c r="K80" s="94"/>
    </row>
    <row r="81" spans="1:11" ht="23.25" customHeight="1">
      <c r="A81" s="95">
        <f>SUBTOTAL(3,C$3:C81)</f>
        <v>79</v>
      </c>
      <c r="B81" s="98"/>
      <c r="C81" s="94" t="s">
        <v>489</v>
      </c>
      <c r="D81" s="94" t="s">
        <v>788</v>
      </c>
      <c r="E81" s="103" t="s">
        <v>393</v>
      </c>
      <c r="F81" s="103" t="s">
        <v>202</v>
      </c>
      <c r="G81" s="104" t="s">
        <v>865</v>
      </c>
      <c r="H81" s="94" t="s">
        <v>807</v>
      </c>
      <c r="I81" s="96"/>
      <c r="J81" s="105"/>
      <c r="K81" s="94"/>
    </row>
    <row r="82" spans="1:11" ht="23.25" customHeight="1">
      <c r="A82" s="95">
        <f>SUBTOTAL(3,C$3:C82)</f>
        <v>80</v>
      </c>
      <c r="B82" s="98"/>
      <c r="C82" s="94" t="s">
        <v>489</v>
      </c>
      <c r="D82" s="94" t="s">
        <v>788</v>
      </c>
      <c r="E82" s="103" t="s">
        <v>393</v>
      </c>
      <c r="F82" s="103" t="s">
        <v>202</v>
      </c>
      <c r="G82" s="104" t="s">
        <v>866</v>
      </c>
      <c r="H82" s="94" t="s">
        <v>808</v>
      </c>
      <c r="I82" s="96"/>
      <c r="J82" s="105"/>
      <c r="K82" s="94"/>
    </row>
    <row r="83" spans="1:11" ht="18.75" customHeight="1">
      <c r="A83" s="95">
        <f>SUBTOTAL(3,C$3:C83)</f>
        <v>81</v>
      </c>
      <c r="B83" s="98"/>
      <c r="C83" s="94" t="s">
        <v>489</v>
      </c>
      <c r="D83" s="94" t="s">
        <v>788</v>
      </c>
      <c r="E83" s="103" t="s">
        <v>393</v>
      </c>
      <c r="F83" s="103" t="s">
        <v>202</v>
      </c>
      <c r="G83" s="104" t="s">
        <v>865</v>
      </c>
      <c r="H83" s="94" t="s">
        <v>809</v>
      </c>
      <c r="I83" s="96"/>
      <c r="J83" s="105"/>
      <c r="K83" s="94"/>
    </row>
    <row r="84" spans="1:11" ht="18.75" customHeight="1">
      <c r="A84" s="95">
        <f>SUBTOTAL(3,C$3:C84)</f>
        <v>82</v>
      </c>
      <c r="B84" s="98"/>
      <c r="C84" s="94" t="s">
        <v>489</v>
      </c>
      <c r="D84" s="94" t="s">
        <v>788</v>
      </c>
      <c r="E84" s="103" t="s">
        <v>393</v>
      </c>
      <c r="F84" s="103" t="s">
        <v>202</v>
      </c>
      <c r="G84" s="104" t="s">
        <v>865</v>
      </c>
      <c r="H84" s="94" t="s">
        <v>786</v>
      </c>
      <c r="I84" s="96"/>
      <c r="J84" s="105"/>
      <c r="K84" s="94"/>
    </row>
    <row r="85" spans="1:11" ht="18.75" customHeight="1">
      <c r="A85" s="95"/>
      <c r="B85" s="91"/>
      <c r="C85" s="91"/>
      <c r="D85" s="91"/>
      <c r="E85" s="93"/>
      <c r="F85" s="93"/>
      <c r="G85" s="92"/>
      <c r="H85" s="91"/>
      <c r="I85" s="94"/>
      <c r="J85" s="97"/>
      <c r="K85" s="91"/>
    </row>
    <row r="86" spans="1:11" ht="18.75" customHeight="1">
      <c r="A86" s="95"/>
      <c r="B86" s="91"/>
      <c r="C86" s="91"/>
      <c r="D86" s="91"/>
      <c r="E86" s="93"/>
      <c r="F86" s="93"/>
      <c r="G86" s="92"/>
      <c r="H86" s="91"/>
      <c r="I86" s="94"/>
      <c r="J86" s="97"/>
      <c r="K86" s="91"/>
    </row>
    <row r="87" spans="1:11" ht="18.75" customHeight="1">
      <c r="A87" s="95"/>
      <c r="B87" s="91"/>
      <c r="C87" s="91"/>
      <c r="D87" s="91"/>
      <c r="E87" s="93"/>
      <c r="F87" s="93"/>
      <c r="G87" s="92"/>
      <c r="H87" s="91"/>
      <c r="I87" s="94"/>
      <c r="J87" s="97"/>
      <c r="K87" s="91"/>
    </row>
    <row r="88" spans="1:11" ht="18.75" customHeight="1">
      <c r="A88" s="95"/>
      <c r="B88" s="91"/>
      <c r="C88" s="91"/>
      <c r="D88" s="91"/>
      <c r="E88" s="93"/>
      <c r="F88" s="93"/>
      <c r="G88" s="92"/>
      <c r="H88" s="91"/>
      <c r="I88" s="94"/>
      <c r="J88" s="97"/>
      <c r="K88" s="91"/>
    </row>
    <row r="89" spans="1:11" ht="18.75" customHeight="1">
      <c r="A89" s="95"/>
      <c r="B89" s="91"/>
      <c r="C89" s="91"/>
      <c r="D89" s="91"/>
      <c r="E89" s="93"/>
      <c r="F89" s="93"/>
      <c r="G89" s="92"/>
      <c r="H89" s="91"/>
      <c r="I89" s="94"/>
      <c r="J89" s="97"/>
      <c r="K89" s="91"/>
    </row>
    <row r="90" spans="1:11" ht="18.75" customHeight="1">
      <c r="A90" s="95"/>
      <c r="B90" s="91"/>
      <c r="C90" s="91"/>
      <c r="D90" s="91"/>
      <c r="E90" s="93"/>
      <c r="F90" s="93"/>
      <c r="G90" s="92"/>
      <c r="H90" s="91"/>
      <c r="I90" s="94"/>
      <c r="J90" s="97"/>
      <c r="K90" s="91"/>
    </row>
    <row r="91" spans="1:11" ht="18.75" customHeight="1">
      <c r="A91" s="95"/>
      <c r="B91" s="91"/>
      <c r="C91" s="91"/>
      <c r="D91" s="91"/>
      <c r="E91" s="93"/>
      <c r="F91" s="93"/>
      <c r="G91" s="92"/>
      <c r="H91" s="91"/>
      <c r="I91" s="94"/>
      <c r="J91" s="97"/>
      <c r="K91" s="91"/>
    </row>
    <row r="92" spans="1:11" ht="18.75" customHeight="1">
      <c r="A92" s="95"/>
      <c r="B92" s="91"/>
      <c r="C92" s="91"/>
      <c r="D92" s="91"/>
      <c r="E92" s="93"/>
      <c r="F92" s="93"/>
      <c r="G92" s="92"/>
      <c r="H92" s="91"/>
      <c r="I92" s="94"/>
      <c r="J92" s="97"/>
      <c r="K92" s="91"/>
    </row>
    <row r="93" spans="1:11" ht="18.75" customHeight="1">
      <c r="A93" s="95"/>
      <c r="B93" s="91"/>
      <c r="C93" s="91"/>
      <c r="D93" s="91"/>
      <c r="E93" s="93"/>
      <c r="F93" s="93"/>
      <c r="G93" s="92"/>
      <c r="H93" s="91"/>
      <c r="I93" s="94"/>
      <c r="J93" s="97"/>
      <c r="K93" s="91"/>
    </row>
    <row r="94" spans="1:11" ht="18.75" customHeight="1">
      <c r="A94" s="95"/>
      <c r="B94" s="91"/>
      <c r="C94" s="91"/>
      <c r="D94" s="91"/>
      <c r="E94" s="93"/>
      <c r="F94" s="93"/>
      <c r="G94" s="92"/>
      <c r="H94" s="91"/>
      <c r="I94" s="94"/>
      <c r="J94" s="97"/>
      <c r="K94" s="91"/>
    </row>
    <row r="95" spans="1:11" ht="18.75" customHeight="1">
      <c r="A95" s="95"/>
      <c r="B95" s="91"/>
      <c r="C95" s="91"/>
      <c r="D95" s="91"/>
      <c r="E95" s="93"/>
      <c r="F95" s="93"/>
      <c r="G95" s="92"/>
      <c r="H95" s="91"/>
      <c r="I95" s="94"/>
      <c r="J95" s="97"/>
      <c r="K95" s="91"/>
    </row>
    <row r="96" spans="1:11" ht="18.75" customHeight="1">
      <c r="A96" s="95"/>
      <c r="B96" s="91"/>
      <c r="C96" s="91"/>
      <c r="D96" s="91"/>
      <c r="E96" s="93"/>
      <c r="F96" s="93"/>
      <c r="G96" s="92"/>
      <c r="H96" s="91"/>
      <c r="I96" s="94"/>
      <c r="J96" s="97"/>
      <c r="K96" s="91"/>
    </row>
    <row r="97" spans="1:11" ht="18.75" customHeight="1">
      <c r="A97" s="95"/>
      <c r="B97" s="91"/>
      <c r="C97" s="91"/>
      <c r="D97" s="91"/>
      <c r="E97" s="93"/>
      <c r="F97" s="93"/>
      <c r="G97" s="92"/>
      <c r="H97" s="91"/>
      <c r="I97" s="94"/>
      <c r="J97" s="97"/>
      <c r="K97" s="91"/>
    </row>
    <row r="98" spans="1:11" ht="15">
      <c r="A98" s="95"/>
      <c r="B98" s="91"/>
      <c r="C98" s="91"/>
      <c r="D98" s="91"/>
      <c r="E98" s="93"/>
      <c r="F98" s="93"/>
      <c r="G98" s="92"/>
      <c r="H98" s="91"/>
      <c r="I98" s="94"/>
      <c r="J98" s="97"/>
      <c r="K98" s="91"/>
    </row>
  </sheetData>
  <conditionalFormatting sqref="H1:H1048576">
    <cfRule type="duplicateValues" dxfId="40" priority="1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B0F7-005B-46D7-B2CE-CE1D8B2CCDBB}">
  <sheetPr codeName="Лист4"/>
  <dimension ref="A1:L63"/>
  <sheetViews>
    <sheetView showGridLines="0" zoomScale="70" zoomScaleNormal="70" workbookViewId="0">
      <pane ySplit="1" topLeftCell="A2" activePane="bottomLeft" state="frozen"/>
      <selection pane="bottomLeft" activeCell="B2" sqref="B2:I17"/>
    </sheetView>
  </sheetViews>
  <sheetFormatPr defaultRowHeight="14.25"/>
  <cols>
    <col min="1" max="1" width="8.6640625" bestFit="1" customWidth="1"/>
    <col min="2" max="2" width="49.86328125" bestFit="1" customWidth="1"/>
    <col min="3" max="3" width="18.6640625" bestFit="1" customWidth="1"/>
    <col min="4" max="4" width="12.46484375" bestFit="1" customWidth="1"/>
    <col min="5" max="5" width="43.33203125" bestFit="1" customWidth="1"/>
    <col min="6" max="6" width="43.46484375" bestFit="1" customWidth="1"/>
    <col min="7" max="7" width="32.86328125" bestFit="1" customWidth="1"/>
    <col min="8" max="8" width="23.1328125" bestFit="1" customWidth="1"/>
    <col min="9" max="9" width="24.6640625" bestFit="1" customWidth="1"/>
    <col min="10" max="10" width="20.33203125" bestFit="1" customWidth="1"/>
    <col min="11" max="11" width="25" bestFit="1" customWidth="1"/>
    <col min="12" max="12" width="17.53125" bestFit="1" customWidth="1"/>
  </cols>
  <sheetData>
    <row r="1" spans="1:12" ht="36.4" thickBot="1">
      <c r="A1" s="24" t="s">
        <v>0</v>
      </c>
      <c r="B1" s="25" t="s">
        <v>2</v>
      </c>
      <c r="C1" s="25" t="s">
        <v>8</v>
      </c>
      <c r="D1" s="18" t="s">
        <v>1</v>
      </c>
      <c r="E1" s="25" t="s">
        <v>490</v>
      </c>
      <c r="F1" s="25" t="s">
        <v>491</v>
      </c>
      <c r="G1" s="25" t="s">
        <v>9</v>
      </c>
      <c r="H1" s="25" t="s">
        <v>3</v>
      </c>
      <c r="I1" s="25" t="s">
        <v>552</v>
      </c>
      <c r="J1" s="25" t="s">
        <v>550</v>
      </c>
      <c r="K1" s="25" t="s">
        <v>551</v>
      </c>
      <c r="L1" s="25" t="s">
        <v>495</v>
      </c>
    </row>
    <row r="2" spans="1:12" ht="15.75">
      <c r="A2" s="23"/>
      <c r="B2" s="21" t="s">
        <v>671</v>
      </c>
      <c r="C2" s="21" t="s">
        <v>35</v>
      </c>
      <c r="D2" s="22"/>
      <c r="E2" s="19" t="s">
        <v>390</v>
      </c>
      <c r="F2" s="19" t="s">
        <v>169</v>
      </c>
      <c r="G2" s="45" t="s">
        <v>663</v>
      </c>
      <c r="H2" s="45" t="s">
        <v>593</v>
      </c>
      <c r="I2" s="45" t="s">
        <v>630</v>
      </c>
      <c r="J2" s="21"/>
      <c r="K2" s="21"/>
      <c r="L2" s="21"/>
    </row>
    <row r="3" spans="1:12" ht="15.75">
      <c r="A3" s="23"/>
      <c r="B3" s="21" t="s">
        <v>671</v>
      </c>
      <c r="C3" s="21" t="s">
        <v>35</v>
      </c>
      <c r="D3" s="22"/>
      <c r="E3" s="19" t="s">
        <v>390</v>
      </c>
      <c r="F3" s="19" t="s">
        <v>169</v>
      </c>
      <c r="G3" s="45" t="s">
        <v>663</v>
      </c>
      <c r="H3" s="21" t="s">
        <v>594</v>
      </c>
      <c r="I3" s="45" t="s">
        <v>630</v>
      </c>
      <c r="J3" s="21"/>
      <c r="K3" s="21"/>
      <c r="L3" s="21"/>
    </row>
    <row r="4" spans="1:12" ht="15.75">
      <c r="A4" s="23"/>
      <c r="B4" s="21" t="s">
        <v>672</v>
      </c>
      <c r="C4" s="21" t="s">
        <v>35</v>
      </c>
      <c r="D4" s="22"/>
      <c r="E4" s="19" t="s">
        <v>388</v>
      </c>
      <c r="F4" s="19" t="s">
        <v>29</v>
      </c>
      <c r="G4" s="45" t="s">
        <v>664</v>
      </c>
      <c r="H4" s="21" t="s">
        <v>600</v>
      </c>
      <c r="I4" s="21" t="s">
        <v>633</v>
      </c>
      <c r="J4" s="21"/>
      <c r="K4" s="21"/>
      <c r="L4" s="21"/>
    </row>
    <row r="5" spans="1:12" ht="15.75">
      <c r="A5" s="23"/>
      <c r="B5" s="21" t="s">
        <v>673</v>
      </c>
      <c r="C5" s="21" t="s">
        <v>35</v>
      </c>
      <c r="D5" s="22"/>
      <c r="E5" s="19" t="s">
        <v>388</v>
      </c>
      <c r="F5" s="19" t="s">
        <v>29</v>
      </c>
      <c r="G5" s="45" t="s">
        <v>666</v>
      </c>
      <c r="H5" s="21" t="s">
        <v>611</v>
      </c>
      <c r="I5" s="21" t="s">
        <v>633</v>
      </c>
      <c r="J5" s="21"/>
      <c r="K5" s="21"/>
      <c r="L5" s="21"/>
    </row>
    <row r="6" spans="1:12" ht="15.75">
      <c r="A6" s="23"/>
      <c r="B6" s="21" t="s">
        <v>670</v>
      </c>
      <c r="C6" s="21" t="s">
        <v>35</v>
      </c>
      <c r="D6" s="22"/>
      <c r="E6" s="19" t="s">
        <v>399</v>
      </c>
      <c r="F6" s="19" t="s">
        <v>116</v>
      </c>
      <c r="G6" s="45" t="s">
        <v>651</v>
      </c>
      <c r="H6" s="45" t="s">
        <v>580</v>
      </c>
      <c r="I6" s="45" t="s">
        <v>625</v>
      </c>
      <c r="J6" s="21"/>
      <c r="K6" s="21"/>
      <c r="L6" s="21"/>
    </row>
    <row r="7" spans="1:12" ht="15.75">
      <c r="A7" s="23"/>
      <c r="B7" s="21" t="s">
        <v>669</v>
      </c>
      <c r="C7" s="21" t="s">
        <v>35</v>
      </c>
      <c r="D7" s="22"/>
      <c r="E7" s="19" t="s">
        <v>400</v>
      </c>
      <c r="F7" s="19" t="s">
        <v>615</v>
      </c>
      <c r="G7" s="45" t="s">
        <v>645</v>
      </c>
      <c r="H7" s="45" t="s">
        <v>574</v>
      </c>
      <c r="I7" s="45" t="s">
        <v>622</v>
      </c>
      <c r="J7" s="21"/>
      <c r="K7" s="21"/>
      <c r="L7" s="21"/>
    </row>
    <row r="8" spans="1:12" ht="15.75">
      <c r="A8" s="23"/>
      <c r="B8" s="21" t="s">
        <v>672</v>
      </c>
      <c r="C8" s="21" t="s">
        <v>35</v>
      </c>
      <c r="D8" s="22"/>
      <c r="E8" s="19" t="s">
        <v>388</v>
      </c>
      <c r="F8" s="19" t="s">
        <v>29</v>
      </c>
      <c r="G8" s="45" t="s">
        <v>665</v>
      </c>
      <c r="H8" s="45" t="s">
        <v>601</v>
      </c>
      <c r="I8" s="45" t="s">
        <v>634</v>
      </c>
      <c r="J8" s="21"/>
      <c r="K8" s="21"/>
      <c r="L8" s="21"/>
    </row>
    <row r="9" spans="1:12" ht="15.75">
      <c r="A9" s="23"/>
      <c r="B9" s="21" t="s">
        <v>722</v>
      </c>
      <c r="C9" s="21" t="s">
        <v>11</v>
      </c>
      <c r="D9" s="22"/>
      <c r="E9" s="19" t="s">
        <v>400</v>
      </c>
      <c r="F9" s="19" t="s">
        <v>615</v>
      </c>
      <c r="G9" s="45" t="s">
        <v>721</v>
      </c>
      <c r="H9" s="45" t="s">
        <v>720</v>
      </c>
      <c r="I9" s="45" t="s">
        <v>765</v>
      </c>
      <c r="J9" s="21"/>
      <c r="K9" s="21"/>
      <c r="L9" s="21"/>
    </row>
    <row r="10" spans="1:12" ht="15.75">
      <c r="A10" s="23"/>
      <c r="B10" s="21" t="s">
        <v>669</v>
      </c>
      <c r="C10" s="21" t="s">
        <v>35</v>
      </c>
      <c r="D10" s="22"/>
      <c r="E10" s="19" t="s">
        <v>400</v>
      </c>
      <c r="F10" s="19" t="s">
        <v>615</v>
      </c>
      <c r="G10" s="22" t="s">
        <v>649</v>
      </c>
      <c r="H10" s="21" t="s">
        <v>578</v>
      </c>
      <c r="I10" s="45" t="s">
        <v>623</v>
      </c>
      <c r="J10" s="21"/>
      <c r="K10" s="21"/>
      <c r="L10" s="21"/>
    </row>
    <row r="11" spans="1:12" ht="15.75">
      <c r="A11" s="23"/>
      <c r="B11" s="21" t="s">
        <v>668</v>
      </c>
      <c r="C11" s="21" t="s">
        <v>35</v>
      </c>
      <c r="D11" s="22"/>
      <c r="E11" s="19" t="s">
        <v>400</v>
      </c>
      <c r="F11" s="19" t="s">
        <v>615</v>
      </c>
      <c r="G11" s="22" t="s">
        <v>641</v>
      </c>
      <c r="H11" s="21" t="s">
        <v>570</v>
      </c>
      <c r="I11" s="21" t="s">
        <v>621</v>
      </c>
      <c r="J11" s="21"/>
      <c r="K11" s="21"/>
      <c r="L11" s="21"/>
    </row>
    <row r="12" spans="1:12" ht="15.75">
      <c r="A12" s="23"/>
      <c r="B12" s="21" t="s">
        <v>764</v>
      </c>
      <c r="C12" s="21" t="s">
        <v>11</v>
      </c>
      <c r="D12" s="22"/>
      <c r="E12" s="19" t="s">
        <v>458</v>
      </c>
      <c r="F12" s="19" t="s">
        <v>416</v>
      </c>
      <c r="G12" s="22" t="s">
        <v>740</v>
      </c>
      <c r="H12" s="21" t="s">
        <v>694</v>
      </c>
      <c r="I12" s="21" t="s">
        <v>517</v>
      </c>
      <c r="J12" s="21"/>
      <c r="K12" s="21"/>
      <c r="L12" s="21"/>
    </row>
    <row r="13" spans="1:12" ht="15.75">
      <c r="A13" s="23"/>
      <c r="B13" s="21" t="s">
        <v>553</v>
      </c>
      <c r="C13" s="21" t="s">
        <v>11</v>
      </c>
      <c r="D13" s="22"/>
      <c r="E13" s="19" t="s">
        <v>388</v>
      </c>
      <c r="F13" s="19" t="s">
        <v>169</v>
      </c>
      <c r="G13" s="22" t="s">
        <v>696</v>
      </c>
      <c r="H13" s="21" t="s">
        <v>761</v>
      </c>
      <c r="I13" s="21" t="s">
        <v>558</v>
      </c>
      <c r="J13" s="21"/>
      <c r="K13" s="21"/>
      <c r="L13" s="21"/>
    </row>
    <row r="14" spans="1:12" ht="15.75">
      <c r="A14" s="23"/>
      <c r="B14" s="21" t="s">
        <v>554</v>
      </c>
      <c r="C14" s="21" t="s">
        <v>11</v>
      </c>
      <c r="D14" s="22"/>
      <c r="E14" s="19" t="s">
        <v>390</v>
      </c>
      <c r="F14" s="19" t="s">
        <v>169</v>
      </c>
      <c r="G14" s="22" t="s">
        <v>698</v>
      </c>
      <c r="H14" s="21" t="s">
        <v>759</v>
      </c>
      <c r="I14" s="21" t="s">
        <v>560</v>
      </c>
      <c r="J14" s="21"/>
      <c r="K14" s="21"/>
      <c r="L14" s="21"/>
    </row>
    <row r="15" spans="1:12" ht="15.75">
      <c r="A15" s="23"/>
      <c r="B15" s="21" t="s">
        <v>815</v>
      </c>
      <c r="C15" s="21" t="s">
        <v>35</v>
      </c>
      <c r="D15" s="22"/>
      <c r="E15" s="19" t="s">
        <v>397</v>
      </c>
      <c r="F15" s="19" t="s">
        <v>618</v>
      </c>
      <c r="G15" s="22" t="s">
        <v>654</v>
      </c>
      <c r="H15" s="21" t="s">
        <v>583</v>
      </c>
      <c r="I15" s="21" t="s">
        <v>627</v>
      </c>
      <c r="J15" s="21"/>
      <c r="K15" s="21"/>
      <c r="L15" s="21"/>
    </row>
    <row r="16" spans="1:12" ht="15.75">
      <c r="A16" s="23"/>
      <c r="B16" s="21" t="s">
        <v>752</v>
      </c>
      <c r="C16" s="21" t="s">
        <v>35</v>
      </c>
      <c r="D16" s="22"/>
      <c r="E16" s="19" t="s">
        <v>400</v>
      </c>
      <c r="F16" s="19" t="s">
        <v>615</v>
      </c>
      <c r="G16" s="22" t="s">
        <v>646</v>
      </c>
      <c r="H16" s="21" t="s">
        <v>575</v>
      </c>
      <c r="I16" s="21" t="s">
        <v>622</v>
      </c>
      <c r="J16" s="21"/>
      <c r="K16" s="21"/>
      <c r="L16" s="21"/>
    </row>
    <row r="17" spans="1:12" ht="15.75">
      <c r="A17" s="23">
        <v>16</v>
      </c>
      <c r="B17" s="21" t="s">
        <v>871</v>
      </c>
      <c r="C17" s="21" t="s">
        <v>35</v>
      </c>
      <c r="D17" s="22"/>
      <c r="E17" s="19" t="s">
        <v>400</v>
      </c>
      <c r="F17" s="19" t="s">
        <v>615</v>
      </c>
      <c r="G17" s="22" t="s">
        <v>643</v>
      </c>
      <c r="H17" s="21" t="s">
        <v>572</v>
      </c>
      <c r="I17" s="21" t="s">
        <v>898</v>
      </c>
      <c r="J17" s="21"/>
      <c r="K17" s="21"/>
      <c r="L17" s="21"/>
    </row>
    <row r="18" spans="1:12" ht="15.75">
      <c r="A18" s="23"/>
      <c r="B18" s="21"/>
      <c r="C18" s="21"/>
      <c r="D18" s="22"/>
      <c r="E18" s="19"/>
      <c r="F18" s="19"/>
      <c r="G18" s="22"/>
      <c r="H18" s="21"/>
      <c r="I18" s="21"/>
      <c r="J18" s="21"/>
      <c r="K18" s="21"/>
      <c r="L18" s="21"/>
    </row>
    <row r="19" spans="1:12" ht="15.75">
      <c r="A19" s="23"/>
      <c r="B19" s="21"/>
      <c r="C19" s="21"/>
      <c r="D19" s="22"/>
      <c r="E19" s="19"/>
      <c r="F19" s="19"/>
      <c r="G19" s="22"/>
      <c r="H19" s="21"/>
      <c r="I19" s="21"/>
      <c r="J19" s="21"/>
      <c r="K19" s="21"/>
      <c r="L19" s="21"/>
    </row>
    <row r="20" spans="1:12" ht="15.75">
      <c r="A20" s="23"/>
      <c r="B20" s="21"/>
      <c r="C20" s="21"/>
      <c r="D20" s="22"/>
      <c r="E20" s="19"/>
      <c r="F20" s="19"/>
      <c r="G20" s="22"/>
      <c r="H20" s="21"/>
      <c r="I20" s="21"/>
      <c r="J20" s="21"/>
      <c r="K20" s="21"/>
      <c r="L20" s="21"/>
    </row>
    <row r="21" spans="1:12" ht="15.75">
      <c r="A21" s="23"/>
      <c r="B21" s="21"/>
      <c r="C21" s="21"/>
      <c r="D21" s="22"/>
      <c r="E21" s="19"/>
      <c r="F21" s="19"/>
      <c r="G21" s="22"/>
      <c r="H21" s="21"/>
      <c r="I21" s="21"/>
      <c r="J21" s="21"/>
      <c r="K21" s="21"/>
      <c r="L21" s="21"/>
    </row>
    <row r="22" spans="1:12" ht="15.75">
      <c r="A22" s="23"/>
      <c r="B22" s="21"/>
      <c r="C22" s="21"/>
      <c r="D22" s="22"/>
      <c r="E22" s="19"/>
      <c r="F22" s="19"/>
      <c r="G22" s="22"/>
      <c r="H22" s="21"/>
      <c r="I22" s="21"/>
      <c r="J22" s="21"/>
      <c r="K22" s="21"/>
      <c r="L22" s="21"/>
    </row>
    <row r="23" spans="1:12" ht="15.75">
      <c r="A23" s="23"/>
      <c r="B23" s="21"/>
      <c r="C23" s="21"/>
      <c r="D23" s="22"/>
      <c r="E23" s="19"/>
      <c r="F23" s="19"/>
      <c r="G23" s="22"/>
      <c r="H23" s="21"/>
      <c r="I23" s="21"/>
      <c r="J23" s="21"/>
      <c r="K23" s="21"/>
      <c r="L23" s="21"/>
    </row>
    <row r="24" spans="1:12" ht="15.75">
      <c r="A24" s="23"/>
      <c r="B24" s="21"/>
      <c r="C24" s="21"/>
      <c r="D24" s="22"/>
      <c r="E24" s="19"/>
      <c r="F24" s="19"/>
      <c r="G24" s="22"/>
      <c r="H24" s="21"/>
      <c r="I24" s="21"/>
      <c r="J24" s="21"/>
      <c r="K24" s="21"/>
      <c r="L24" s="21"/>
    </row>
    <row r="25" spans="1:12" ht="15.75">
      <c r="A25" s="23"/>
      <c r="B25" s="21"/>
      <c r="C25" s="21"/>
      <c r="D25" s="22"/>
      <c r="E25" s="19"/>
      <c r="F25" s="19"/>
      <c r="G25" s="22"/>
      <c r="H25" s="21"/>
      <c r="I25" s="21"/>
      <c r="J25" s="21"/>
      <c r="K25" s="21"/>
      <c r="L25" s="21"/>
    </row>
    <row r="26" spans="1:12" ht="15.75">
      <c r="A26" s="23"/>
      <c r="B26" s="21"/>
      <c r="C26" s="21"/>
      <c r="D26" s="22"/>
      <c r="E26" s="19"/>
      <c r="F26" s="19"/>
      <c r="G26" s="22"/>
      <c r="H26" s="21"/>
      <c r="I26" s="21"/>
      <c r="J26" s="21"/>
      <c r="K26" s="21"/>
      <c r="L26" s="21"/>
    </row>
    <row r="27" spans="1:12" ht="15.75">
      <c r="A27" s="23"/>
      <c r="B27" s="21"/>
      <c r="C27" s="21"/>
      <c r="D27" s="22"/>
      <c r="E27" s="19"/>
      <c r="F27" s="19"/>
      <c r="G27" s="22"/>
      <c r="H27" s="21"/>
      <c r="I27" s="21"/>
      <c r="J27" s="21"/>
      <c r="K27" s="21"/>
      <c r="L27" s="21"/>
    </row>
    <row r="28" spans="1:12" ht="15.75">
      <c r="A28" s="23"/>
      <c r="B28" s="21"/>
      <c r="C28" s="21"/>
      <c r="D28" s="22"/>
      <c r="E28" s="19"/>
      <c r="F28" s="19"/>
      <c r="G28" s="22"/>
      <c r="H28" s="21"/>
      <c r="I28" s="21"/>
      <c r="J28" s="21"/>
      <c r="K28" s="21"/>
      <c r="L28" s="21"/>
    </row>
    <row r="29" spans="1:12" ht="15.75">
      <c r="A29" s="23"/>
      <c r="B29" s="21"/>
      <c r="C29" s="21"/>
      <c r="D29" s="22"/>
      <c r="E29" s="19"/>
      <c r="F29" s="19"/>
      <c r="G29" s="22"/>
      <c r="H29" s="21"/>
      <c r="I29" s="21"/>
      <c r="J29" s="21"/>
      <c r="K29" s="21"/>
      <c r="L29" s="21"/>
    </row>
    <row r="30" spans="1:12" ht="15.75">
      <c r="A30" s="23"/>
      <c r="B30" s="21"/>
      <c r="C30" s="21"/>
      <c r="D30" s="22"/>
      <c r="E30" s="19"/>
      <c r="F30" s="19"/>
      <c r="G30" s="22"/>
      <c r="H30" s="21"/>
      <c r="I30" s="21"/>
      <c r="J30" s="21"/>
      <c r="K30" s="21"/>
      <c r="L30" s="21"/>
    </row>
    <row r="31" spans="1:12" ht="15.75">
      <c r="A31" s="23"/>
      <c r="B31" s="21"/>
      <c r="C31" s="21"/>
      <c r="D31" s="22"/>
      <c r="E31" s="19"/>
      <c r="F31" s="19"/>
      <c r="G31" s="22"/>
      <c r="H31" s="21"/>
      <c r="I31" s="21"/>
      <c r="J31" s="21"/>
      <c r="K31" s="21"/>
      <c r="L31" s="21"/>
    </row>
    <row r="32" spans="1:12" ht="15.75">
      <c r="A32" s="23"/>
      <c r="B32" s="21"/>
      <c r="C32" s="21"/>
      <c r="D32" s="22"/>
      <c r="E32" s="19"/>
      <c r="F32" s="19"/>
      <c r="G32" s="22"/>
      <c r="H32" s="21"/>
      <c r="I32" s="21"/>
      <c r="J32" s="21"/>
      <c r="K32" s="21"/>
      <c r="L32" s="21"/>
    </row>
    <row r="33" spans="1:12" ht="15.75">
      <c r="A33" s="23"/>
      <c r="B33" s="21"/>
      <c r="C33" s="21"/>
      <c r="D33" s="22"/>
      <c r="E33" s="19"/>
      <c r="F33" s="19"/>
      <c r="G33" s="22"/>
      <c r="H33" s="21"/>
      <c r="I33" s="21"/>
      <c r="J33" s="21"/>
      <c r="K33" s="21"/>
      <c r="L33" s="21"/>
    </row>
    <row r="34" spans="1:12" ht="15.75">
      <c r="A34" s="23"/>
      <c r="B34" s="21"/>
      <c r="C34" s="21"/>
      <c r="D34" s="22"/>
      <c r="E34" s="19"/>
      <c r="F34" s="19"/>
      <c r="G34" s="22"/>
      <c r="H34" s="21"/>
      <c r="I34" s="21"/>
      <c r="J34" s="21"/>
      <c r="K34" s="21"/>
      <c r="L34" s="21"/>
    </row>
    <row r="35" spans="1:12" ht="15.75">
      <c r="A35" s="23"/>
      <c r="B35" s="21"/>
      <c r="C35" s="21"/>
      <c r="D35" s="22"/>
      <c r="E35" s="19"/>
      <c r="F35" s="19"/>
      <c r="G35" s="22"/>
      <c r="H35" s="21"/>
      <c r="I35" s="21"/>
      <c r="J35" s="21"/>
      <c r="K35" s="21"/>
      <c r="L35" s="21"/>
    </row>
    <row r="36" spans="1:12" ht="15.75">
      <c r="A36" s="23"/>
      <c r="B36" s="21"/>
      <c r="C36" s="21"/>
      <c r="D36" s="22"/>
      <c r="E36" s="19"/>
      <c r="F36" s="19"/>
      <c r="G36" s="22"/>
      <c r="H36" s="21"/>
      <c r="I36" s="21"/>
      <c r="J36" s="21"/>
      <c r="K36" s="21"/>
      <c r="L36" s="21"/>
    </row>
    <row r="37" spans="1:12" ht="15.75">
      <c r="A37" s="23"/>
      <c r="B37" s="21"/>
      <c r="C37" s="21"/>
      <c r="D37" s="22"/>
      <c r="E37" s="19"/>
      <c r="F37" s="19"/>
      <c r="G37" s="22"/>
      <c r="H37" s="21"/>
      <c r="I37" s="21"/>
      <c r="J37" s="21"/>
      <c r="K37" s="21"/>
      <c r="L37" s="21"/>
    </row>
    <row r="38" spans="1:12" ht="15.75">
      <c r="A38" s="23"/>
      <c r="B38" s="21"/>
      <c r="C38" s="21"/>
      <c r="D38" s="22"/>
      <c r="E38" s="19"/>
      <c r="F38" s="19"/>
      <c r="G38" s="22"/>
      <c r="H38" s="21"/>
      <c r="I38" s="21"/>
      <c r="J38" s="21"/>
      <c r="K38" s="21"/>
      <c r="L38" s="21"/>
    </row>
    <row r="39" spans="1:12" ht="15.75">
      <c r="A39" s="23"/>
      <c r="B39" s="21"/>
      <c r="C39" s="21"/>
      <c r="D39" s="22"/>
      <c r="E39" s="19"/>
      <c r="F39" s="19"/>
      <c r="G39" s="22"/>
      <c r="H39" s="21"/>
      <c r="I39" s="21"/>
      <c r="J39" s="21"/>
      <c r="K39" s="21"/>
      <c r="L39" s="21"/>
    </row>
    <row r="40" spans="1:12" ht="15.75">
      <c r="A40" s="23"/>
      <c r="B40" s="21"/>
      <c r="C40" s="21"/>
      <c r="D40" s="22"/>
      <c r="E40" s="19"/>
      <c r="F40" s="19"/>
      <c r="G40" s="22"/>
      <c r="H40" s="21"/>
      <c r="I40" s="21"/>
      <c r="J40" s="21"/>
      <c r="K40" s="21"/>
      <c r="L40" s="21"/>
    </row>
    <row r="41" spans="1:12" ht="15.75">
      <c r="A41" s="23"/>
      <c r="B41" s="21"/>
      <c r="C41" s="21"/>
      <c r="D41" s="22"/>
      <c r="E41" s="19"/>
      <c r="F41" s="19"/>
      <c r="G41" s="22"/>
      <c r="H41" s="21"/>
      <c r="I41" s="21"/>
      <c r="J41" s="21"/>
      <c r="K41" s="21"/>
      <c r="L41" s="21"/>
    </row>
    <row r="42" spans="1:12" ht="15.75">
      <c r="A42" s="23"/>
      <c r="B42" s="21"/>
      <c r="C42" s="21"/>
      <c r="D42" s="22"/>
      <c r="E42" s="19"/>
      <c r="F42" s="19"/>
      <c r="G42" s="22"/>
      <c r="H42" s="21"/>
      <c r="I42" s="21"/>
      <c r="J42" s="21"/>
      <c r="K42" s="21"/>
      <c r="L42" s="21"/>
    </row>
    <row r="43" spans="1:12" ht="15.75">
      <c r="A43" s="23"/>
      <c r="B43" s="21"/>
      <c r="C43" s="21"/>
      <c r="D43" s="22"/>
      <c r="E43" s="19"/>
      <c r="F43" s="19"/>
      <c r="G43" s="22"/>
      <c r="H43" s="21"/>
      <c r="I43" s="21"/>
      <c r="J43" s="21"/>
      <c r="K43" s="21"/>
      <c r="L43" s="21"/>
    </row>
    <row r="44" spans="1:12" ht="15.75">
      <c r="A44" s="23"/>
      <c r="B44" s="21"/>
      <c r="C44" s="21"/>
      <c r="D44" s="22"/>
      <c r="E44" s="19"/>
      <c r="F44" s="19"/>
      <c r="G44" s="22"/>
      <c r="H44" s="21"/>
      <c r="I44" s="21"/>
      <c r="J44" s="21"/>
      <c r="K44" s="21"/>
      <c r="L44" s="21"/>
    </row>
    <row r="45" spans="1:12" ht="15.75">
      <c r="A45" s="23"/>
      <c r="B45" s="21"/>
      <c r="C45" s="21"/>
      <c r="D45" s="22"/>
      <c r="E45" s="19"/>
      <c r="F45" s="19"/>
      <c r="G45" s="22"/>
      <c r="H45" s="21"/>
      <c r="I45" s="21"/>
      <c r="J45" s="21"/>
      <c r="K45" s="21"/>
      <c r="L45" s="21"/>
    </row>
    <row r="46" spans="1:12" ht="15.75">
      <c r="A46" s="23"/>
      <c r="B46" s="21"/>
      <c r="C46" s="21"/>
      <c r="D46" s="22"/>
      <c r="E46" s="19"/>
      <c r="F46" s="19"/>
      <c r="G46" s="22"/>
      <c r="H46" s="21"/>
      <c r="I46" s="21"/>
      <c r="J46" s="21"/>
      <c r="K46" s="21"/>
      <c r="L46" s="21"/>
    </row>
    <row r="47" spans="1:12" ht="15.75">
      <c r="A47" s="23"/>
      <c r="B47" s="21"/>
      <c r="C47" s="21"/>
      <c r="D47" s="22"/>
      <c r="E47" s="19"/>
      <c r="F47" s="19"/>
      <c r="G47" s="22"/>
      <c r="H47" s="21"/>
      <c r="I47" s="21"/>
      <c r="J47" s="21"/>
      <c r="K47" s="21"/>
      <c r="L47" s="21"/>
    </row>
    <row r="48" spans="1:12" ht="15.75">
      <c r="A48" s="23"/>
      <c r="B48" s="21"/>
      <c r="C48" s="21"/>
      <c r="D48" s="22"/>
      <c r="E48" s="19"/>
      <c r="F48" s="19"/>
      <c r="G48" s="22"/>
      <c r="H48" s="21"/>
      <c r="I48" s="21"/>
      <c r="J48" s="21"/>
      <c r="K48" s="21"/>
      <c r="L48" s="21"/>
    </row>
    <row r="49" spans="1:12" ht="15.75">
      <c r="A49" s="23"/>
      <c r="B49" s="21"/>
      <c r="C49" s="21"/>
      <c r="D49" s="22"/>
      <c r="E49" s="19"/>
      <c r="F49" s="19"/>
      <c r="G49" s="22"/>
      <c r="H49" s="21"/>
      <c r="I49" s="21"/>
      <c r="J49" s="21"/>
      <c r="K49" s="21"/>
      <c r="L49" s="21"/>
    </row>
    <row r="50" spans="1:12" ht="15.75">
      <c r="A50" s="23"/>
      <c r="B50" s="21"/>
      <c r="C50" s="21"/>
      <c r="D50" s="22"/>
      <c r="E50" s="19"/>
      <c r="F50" s="19"/>
      <c r="G50" s="22"/>
      <c r="H50" s="21"/>
      <c r="I50" s="21"/>
      <c r="J50" s="21"/>
      <c r="K50" s="21"/>
      <c r="L50" s="21"/>
    </row>
    <row r="51" spans="1:12" ht="15.75">
      <c r="A51" s="23"/>
      <c r="B51" s="21"/>
      <c r="C51" s="21"/>
      <c r="D51" s="22"/>
      <c r="E51" s="19"/>
      <c r="F51" s="19"/>
      <c r="G51" s="22"/>
      <c r="H51" s="21"/>
      <c r="I51" s="21"/>
      <c r="J51" s="21"/>
      <c r="K51" s="21"/>
      <c r="L51" s="21"/>
    </row>
    <row r="52" spans="1:12" ht="15.75">
      <c r="A52" s="23"/>
      <c r="B52" s="21"/>
      <c r="C52" s="21"/>
      <c r="D52" s="22"/>
      <c r="E52" s="19"/>
      <c r="F52" s="19"/>
      <c r="G52" s="22"/>
      <c r="H52" s="21"/>
      <c r="I52" s="21"/>
      <c r="J52" s="21"/>
      <c r="K52" s="21"/>
      <c r="L52" s="21"/>
    </row>
    <row r="53" spans="1:12" ht="15.75">
      <c r="A53" s="23"/>
      <c r="B53" s="21"/>
      <c r="C53" s="21"/>
      <c r="D53" s="22"/>
      <c r="E53" s="19"/>
      <c r="F53" s="19"/>
      <c r="G53" s="22"/>
      <c r="H53" s="21"/>
      <c r="I53" s="21"/>
      <c r="J53" s="21"/>
      <c r="K53" s="21"/>
      <c r="L53" s="21"/>
    </row>
    <row r="54" spans="1:12" ht="15.75">
      <c r="A54" s="23"/>
      <c r="B54" s="21"/>
      <c r="C54" s="21"/>
      <c r="D54" s="22"/>
      <c r="E54" s="19"/>
      <c r="F54" s="19"/>
      <c r="G54" s="22"/>
      <c r="H54" s="21"/>
      <c r="I54" s="21"/>
      <c r="J54" s="21"/>
      <c r="K54" s="21"/>
      <c r="L54" s="21"/>
    </row>
    <row r="55" spans="1:12" ht="15.75">
      <c r="A55" s="23"/>
      <c r="B55" s="21"/>
      <c r="C55" s="21"/>
      <c r="D55" s="22"/>
      <c r="E55" s="19"/>
      <c r="F55" s="19"/>
      <c r="G55" s="22"/>
      <c r="H55" s="21"/>
      <c r="I55" s="21"/>
      <c r="J55" s="21"/>
      <c r="K55" s="21"/>
      <c r="L55" s="21"/>
    </row>
    <row r="56" spans="1:12" ht="15.75">
      <c r="A56" s="23"/>
      <c r="B56" s="21"/>
      <c r="C56" s="21"/>
      <c r="D56" s="22"/>
      <c r="E56" s="19"/>
      <c r="F56" s="19"/>
      <c r="G56" s="22"/>
      <c r="H56" s="21"/>
      <c r="I56" s="21"/>
      <c r="J56" s="21"/>
      <c r="K56" s="21"/>
      <c r="L56" s="21"/>
    </row>
    <row r="57" spans="1:12" ht="15.75">
      <c r="A57" s="23"/>
      <c r="B57" s="21"/>
      <c r="C57" s="21"/>
      <c r="D57" s="22"/>
      <c r="E57" s="19"/>
      <c r="F57" s="19"/>
      <c r="G57" s="22"/>
      <c r="H57" s="21"/>
      <c r="I57" s="21"/>
      <c r="J57" s="21"/>
      <c r="K57" s="21"/>
      <c r="L57" s="21"/>
    </row>
    <row r="58" spans="1:12" ht="15.75">
      <c r="A58" s="23"/>
      <c r="B58" s="21"/>
      <c r="C58" s="21"/>
      <c r="D58" s="22"/>
      <c r="E58" s="19"/>
      <c r="F58" s="19"/>
      <c r="G58" s="22"/>
      <c r="H58" s="21"/>
      <c r="I58" s="21"/>
      <c r="J58" s="21"/>
      <c r="K58" s="21"/>
      <c r="L58" s="21"/>
    </row>
    <row r="59" spans="1:12" ht="15.75">
      <c r="A59" s="23"/>
      <c r="B59" s="21"/>
      <c r="C59" s="21"/>
      <c r="D59" s="22"/>
      <c r="E59" s="19"/>
      <c r="F59" s="19"/>
      <c r="G59" s="22"/>
      <c r="H59" s="21"/>
      <c r="I59" s="21"/>
      <c r="J59" s="21"/>
      <c r="K59" s="21"/>
      <c r="L59" s="21"/>
    </row>
    <row r="60" spans="1:12" ht="15.75">
      <c r="A60" s="23"/>
      <c r="B60" s="21"/>
      <c r="C60" s="21"/>
      <c r="D60" s="22"/>
      <c r="E60" s="19"/>
      <c r="F60" s="19"/>
      <c r="G60" s="22"/>
      <c r="H60" s="21"/>
      <c r="I60" s="21"/>
      <c r="J60" s="21"/>
      <c r="K60" s="21"/>
      <c r="L60" s="21"/>
    </row>
    <row r="61" spans="1:12" ht="15.75">
      <c r="A61" s="23"/>
      <c r="B61" s="21"/>
      <c r="C61" s="21"/>
      <c r="D61" s="22"/>
      <c r="E61" s="19"/>
      <c r="F61" s="19"/>
      <c r="G61" s="22"/>
      <c r="H61" s="21"/>
      <c r="I61" s="21"/>
      <c r="J61" s="21"/>
      <c r="K61" s="21"/>
      <c r="L61" s="21"/>
    </row>
    <row r="62" spans="1:12" ht="15.75">
      <c r="A62" s="49"/>
      <c r="B62" s="21"/>
      <c r="C62" s="21"/>
      <c r="D62" s="22"/>
      <c r="E62" s="19"/>
      <c r="F62" s="19"/>
      <c r="G62" s="22"/>
      <c r="H62" s="21"/>
      <c r="I62" s="21"/>
      <c r="J62" s="21"/>
      <c r="K62" s="21"/>
      <c r="L62" s="21"/>
    </row>
    <row r="63" spans="1:12" ht="15.75">
      <c r="A63" s="50"/>
      <c r="B63" s="47"/>
      <c r="C63" s="47"/>
      <c r="D63" s="48"/>
      <c r="E63" s="19"/>
      <c r="F63" s="19"/>
      <c r="G63" s="22"/>
      <c r="H63" s="21"/>
      <c r="I63" s="21"/>
      <c r="J63" s="47"/>
      <c r="K63" s="47"/>
      <c r="L63" s="47"/>
    </row>
  </sheetData>
  <conditionalFormatting sqref="H63">
    <cfRule type="duplicateValues" dxfId="24" priority="1"/>
    <cfRule type="duplicateValues" dxfId="23" priority="2"/>
  </conditionalFormatting>
  <conditionalFormatting sqref="H1:H62">
    <cfRule type="duplicateValues" dxfId="22" priority="100"/>
    <cfRule type="duplicateValues" dxfId="21" priority="10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4433-46A5-4EE2-9F7E-13052550701E}">
  <sheetPr codeName="Лист5"/>
  <dimension ref="A1:W34"/>
  <sheetViews>
    <sheetView showGridLines="0" zoomScale="85" zoomScaleNormal="85" workbookViewId="0">
      <pane ySplit="1" topLeftCell="A2" activePane="bottomLeft" state="frozen"/>
      <selection pane="bottomLeft" activeCell="D3" sqref="D3"/>
    </sheetView>
  </sheetViews>
  <sheetFormatPr defaultRowHeight="14.25" outlineLevelCol="1"/>
  <cols>
    <col min="1" max="1" width="4.1328125" bestFit="1" customWidth="1"/>
    <col min="2" max="2" width="9.6640625" customWidth="1"/>
    <col min="3" max="3" width="13.46484375" customWidth="1"/>
    <col min="4" max="4" width="9.6640625" customWidth="1"/>
    <col min="5" max="5" width="19.33203125" customWidth="1"/>
    <col min="6" max="6" width="21.6640625" bestFit="1" customWidth="1"/>
    <col min="7" max="7" width="19.53125" customWidth="1" outlineLevel="1"/>
    <col min="8" max="8" width="19.86328125" customWidth="1" outlineLevel="1"/>
    <col min="9" max="9" width="21.53125" customWidth="1" outlineLevel="1"/>
    <col min="10" max="10" width="19.1328125" customWidth="1" outlineLevel="1"/>
    <col min="11" max="11" width="18.53125" customWidth="1" outlineLevel="1"/>
    <col min="12" max="12" width="15.46484375" customWidth="1" outlineLevel="1"/>
    <col min="13" max="13" width="21.1328125" customWidth="1" outlineLevel="1"/>
    <col min="14" max="14" width="14.46484375" customWidth="1" outlineLevel="1"/>
    <col min="15" max="15" width="21.46484375" bestFit="1" customWidth="1" outlineLevel="1"/>
    <col min="16" max="16" width="28.6640625" customWidth="1"/>
    <col min="17" max="17" width="15.86328125" customWidth="1"/>
    <col min="18" max="18" width="19.1328125" customWidth="1"/>
    <col min="19" max="20" width="26.53125" bestFit="1" customWidth="1"/>
    <col min="21" max="21" width="32.6640625" bestFit="1" customWidth="1"/>
    <col min="22" max="22" width="26.53125" bestFit="1" customWidth="1"/>
  </cols>
  <sheetData>
    <row r="1" spans="1:23" s="15" customFormat="1" ht="54.4" thickBot="1">
      <c r="A1" s="1" t="s">
        <v>0</v>
      </c>
      <c r="B1" s="2" t="s">
        <v>2</v>
      </c>
      <c r="C1" s="2" t="s">
        <v>8</v>
      </c>
      <c r="D1" s="2" t="s">
        <v>1</v>
      </c>
      <c r="E1" s="2" t="s">
        <v>490</v>
      </c>
      <c r="F1" s="2" t="s">
        <v>491</v>
      </c>
      <c r="G1" s="2" t="s">
        <v>9</v>
      </c>
      <c r="H1" s="2" t="s">
        <v>3</v>
      </c>
      <c r="I1" s="2" t="s">
        <v>4</v>
      </c>
      <c r="J1" s="1" t="s">
        <v>107</v>
      </c>
      <c r="K1" s="1" t="s">
        <v>5</v>
      </c>
      <c r="L1" s="2" t="s">
        <v>6</v>
      </c>
      <c r="M1" s="2" t="s">
        <v>488</v>
      </c>
      <c r="N1" s="2" t="s">
        <v>14</v>
      </c>
      <c r="O1" s="2" t="s">
        <v>493</v>
      </c>
      <c r="P1" s="3" t="s">
        <v>492</v>
      </c>
      <c r="Q1" s="3" t="s">
        <v>373</v>
      </c>
      <c r="R1" s="3" t="s">
        <v>7</v>
      </c>
      <c r="S1" s="3" t="s">
        <v>10</v>
      </c>
      <c r="T1" s="3" t="s">
        <v>494</v>
      </c>
      <c r="U1" s="3" t="s">
        <v>495</v>
      </c>
      <c r="V1" s="3"/>
    </row>
    <row r="2" spans="1:23" s="13" customFormat="1" ht="24" customHeight="1">
      <c r="A2" s="7">
        <v>1</v>
      </c>
      <c r="B2" s="8" t="s">
        <v>71</v>
      </c>
      <c r="C2" s="8" t="s">
        <v>489</v>
      </c>
      <c r="D2" s="8" t="s">
        <v>359</v>
      </c>
      <c r="E2" s="9" t="s">
        <v>393</v>
      </c>
      <c r="F2" s="9" t="s">
        <v>202</v>
      </c>
      <c r="G2" s="8" t="s">
        <v>261</v>
      </c>
      <c r="H2" s="9" t="s">
        <v>264</v>
      </c>
      <c r="I2" s="8" t="s">
        <v>263</v>
      </c>
      <c r="J2" s="9" t="s">
        <v>262</v>
      </c>
      <c r="K2" s="10">
        <v>2021</v>
      </c>
      <c r="L2" s="8">
        <v>2297</v>
      </c>
      <c r="M2" s="8" t="s">
        <v>282</v>
      </c>
      <c r="N2" s="8" t="s">
        <v>265</v>
      </c>
      <c r="O2" s="8" t="s">
        <v>906</v>
      </c>
      <c r="P2" s="11" t="s">
        <v>266</v>
      </c>
      <c r="Q2" s="12" t="s">
        <v>82</v>
      </c>
      <c r="R2" s="9" t="s">
        <v>694</v>
      </c>
      <c r="S2" s="9" t="s">
        <v>18</v>
      </c>
      <c r="T2" s="12">
        <v>46256</v>
      </c>
      <c r="U2" s="9" t="s">
        <v>907</v>
      </c>
      <c r="V2" s="9"/>
      <c r="W2" s="15"/>
    </row>
    <row r="3" spans="1:23" ht="24" customHeight="1">
      <c r="A3" s="7">
        <v>2</v>
      </c>
      <c r="B3" s="8"/>
      <c r="C3" s="8"/>
      <c r="D3" s="9"/>
      <c r="E3" s="9"/>
      <c r="F3" s="8"/>
      <c r="G3" s="9"/>
      <c r="H3" s="8"/>
      <c r="I3" s="9"/>
      <c r="J3" s="10"/>
      <c r="K3" s="8"/>
      <c r="L3" s="8"/>
      <c r="M3" s="8"/>
      <c r="N3" s="8"/>
      <c r="O3" s="11"/>
      <c r="P3" s="12"/>
      <c r="Q3" s="9"/>
      <c r="R3" s="9"/>
      <c r="S3" s="9"/>
      <c r="T3" s="9"/>
      <c r="U3" s="9"/>
      <c r="V3" s="9"/>
    </row>
    <row r="4" spans="1:23" ht="24" customHeight="1">
      <c r="A4" s="7">
        <v>3</v>
      </c>
      <c r="B4" s="8"/>
      <c r="C4" s="8"/>
      <c r="D4" s="9"/>
      <c r="E4" s="9"/>
      <c r="F4" s="8"/>
      <c r="G4" s="9"/>
      <c r="H4" s="8"/>
      <c r="I4" s="9"/>
      <c r="J4" s="10"/>
      <c r="K4" s="8"/>
      <c r="L4" s="8"/>
      <c r="M4" s="8"/>
      <c r="N4" s="8"/>
      <c r="O4" s="11"/>
      <c r="P4" s="12"/>
      <c r="Q4" s="9"/>
      <c r="R4" s="9"/>
      <c r="S4" s="9"/>
      <c r="T4" s="9"/>
      <c r="U4" s="9"/>
      <c r="V4" s="9"/>
    </row>
    <row r="5" spans="1:23" ht="24" customHeight="1">
      <c r="A5" s="7">
        <v>4</v>
      </c>
      <c r="B5" s="8"/>
      <c r="C5" s="8"/>
      <c r="D5" s="9"/>
      <c r="E5" s="9"/>
      <c r="F5" s="8"/>
      <c r="G5" s="9"/>
      <c r="H5" s="8"/>
      <c r="I5" s="9"/>
      <c r="J5" s="10"/>
      <c r="K5" s="8"/>
      <c r="L5" s="8"/>
      <c r="M5" s="8"/>
      <c r="N5" s="8"/>
      <c r="O5" s="11"/>
      <c r="P5" s="16"/>
      <c r="Q5" s="9"/>
      <c r="R5" s="9"/>
      <c r="S5" s="9"/>
      <c r="T5" s="9"/>
      <c r="U5" s="9"/>
      <c r="V5" s="9"/>
    </row>
    <row r="6" spans="1:23" ht="24" customHeight="1">
      <c r="A6" s="7"/>
      <c r="B6" s="8"/>
      <c r="C6" s="8"/>
      <c r="D6" s="9"/>
      <c r="E6" s="9"/>
      <c r="F6" s="8"/>
      <c r="G6" s="9"/>
      <c r="H6" s="8"/>
      <c r="I6" s="9"/>
      <c r="J6" s="10"/>
      <c r="K6" s="8"/>
      <c r="L6" s="8"/>
      <c r="M6" s="8"/>
      <c r="N6" s="8"/>
      <c r="O6" s="11"/>
      <c r="P6" s="12"/>
      <c r="Q6" s="9"/>
      <c r="R6" s="9"/>
      <c r="S6" s="9"/>
      <c r="T6" s="9"/>
      <c r="U6" s="9"/>
      <c r="V6" s="9"/>
    </row>
    <row r="7" spans="1:23" ht="24" customHeight="1">
      <c r="A7" s="7"/>
      <c r="B7" s="8"/>
      <c r="C7" s="8"/>
      <c r="D7" s="9"/>
      <c r="E7" s="9"/>
      <c r="F7" s="8"/>
      <c r="G7" s="9"/>
      <c r="H7" s="8"/>
      <c r="I7" s="9"/>
      <c r="J7" s="10"/>
      <c r="K7" s="8"/>
      <c r="L7" s="8"/>
      <c r="M7" s="8"/>
      <c r="N7" s="8"/>
      <c r="O7" s="11"/>
      <c r="P7" s="12"/>
      <c r="Q7" s="9"/>
      <c r="R7" s="9"/>
      <c r="S7" s="9"/>
      <c r="T7" s="9"/>
      <c r="U7" s="9"/>
      <c r="V7" s="9"/>
    </row>
    <row r="8" spans="1:23" ht="24" customHeight="1">
      <c r="A8" s="7"/>
      <c r="B8" s="8"/>
      <c r="C8" s="8"/>
      <c r="D8" s="9"/>
      <c r="E8" s="9"/>
      <c r="F8" s="8"/>
      <c r="G8" s="9"/>
      <c r="H8" s="8"/>
      <c r="I8" s="9"/>
      <c r="J8" s="10"/>
      <c r="K8" s="8"/>
      <c r="L8" s="8"/>
      <c r="M8" s="8"/>
      <c r="N8" s="8"/>
      <c r="O8" s="11"/>
      <c r="P8" s="12"/>
      <c r="Q8" s="9"/>
      <c r="R8" s="9"/>
      <c r="S8" s="9"/>
      <c r="T8" s="9"/>
      <c r="U8" s="9"/>
      <c r="V8" s="9"/>
    </row>
    <row r="9" spans="1:23" ht="24" customHeight="1">
      <c r="A9" s="7"/>
      <c r="B9" s="8"/>
      <c r="C9" s="8"/>
      <c r="D9" s="9"/>
      <c r="E9" s="9"/>
      <c r="F9" s="8"/>
      <c r="G9" s="9"/>
      <c r="H9" s="8"/>
      <c r="I9" s="9"/>
      <c r="J9" s="10"/>
      <c r="K9" s="8"/>
      <c r="L9" s="8"/>
      <c r="M9" s="8"/>
      <c r="N9" s="8"/>
      <c r="O9" s="11"/>
      <c r="P9" s="12"/>
      <c r="Q9" s="9"/>
      <c r="R9" s="9"/>
      <c r="S9" s="9"/>
      <c r="T9" s="9"/>
      <c r="U9" s="9"/>
      <c r="V9" s="9"/>
    </row>
    <row r="10" spans="1:23" ht="24" customHeight="1">
      <c r="A10" s="7"/>
      <c r="B10" s="8"/>
      <c r="C10" s="8"/>
      <c r="D10" s="9"/>
      <c r="E10" s="9"/>
      <c r="F10" s="8"/>
      <c r="G10" s="9"/>
      <c r="H10" s="8"/>
      <c r="I10" s="9"/>
      <c r="J10" s="10"/>
      <c r="K10" s="8"/>
      <c r="L10" s="8"/>
      <c r="M10" s="8"/>
      <c r="N10" s="8"/>
      <c r="O10" s="11"/>
      <c r="P10" s="12"/>
      <c r="Q10" s="9"/>
      <c r="R10" s="9"/>
      <c r="S10" s="9"/>
      <c r="T10" s="9"/>
      <c r="U10" s="9"/>
      <c r="V10" s="9"/>
    </row>
    <row r="11" spans="1:23" ht="24" customHeight="1">
      <c r="A11" s="7"/>
      <c r="B11" s="8"/>
      <c r="C11" s="8"/>
      <c r="D11" s="9"/>
      <c r="E11" s="9"/>
      <c r="F11" s="8"/>
      <c r="G11" s="9"/>
      <c r="H11" s="8"/>
      <c r="I11" s="9"/>
      <c r="J11" s="10"/>
      <c r="K11" s="8"/>
      <c r="L11" s="8"/>
      <c r="M11" s="8"/>
      <c r="N11" s="8"/>
      <c r="O11" s="11"/>
      <c r="P11" s="12"/>
      <c r="Q11" s="9"/>
      <c r="R11" s="9"/>
      <c r="S11" s="9"/>
      <c r="T11" s="9"/>
      <c r="U11" s="9"/>
      <c r="V11" s="9"/>
    </row>
    <row r="12" spans="1:23" ht="24" customHeight="1">
      <c r="A12" s="7"/>
      <c r="B12" s="8"/>
      <c r="C12" s="8"/>
      <c r="D12" s="9"/>
      <c r="E12" s="9"/>
      <c r="F12" s="8"/>
      <c r="G12" s="9"/>
      <c r="H12" s="8"/>
      <c r="I12" s="9"/>
      <c r="J12" s="10"/>
      <c r="K12" s="8"/>
      <c r="L12" s="8"/>
      <c r="M12" s="8"/>
      <c r="N12" s="8"/>
      <c r="O12" s="11"/>
      <c r="P12" s="12"/>
      <c r="Q12" s="9"/>
      <c r="R12" s="9"/>
      <c r="S12" s="9"/>
      <c r="T12" s="9"/>
      <c r="U12" s="9"/>
      <c r="V12" s="9"/>
    </row>
    <row r="13" spans="1:23" ht="24" customHeight="1">
      <c r="A13" s="7"/>
      <c r="B13" s="8"/>
      <c r="C13" s="8"/>
      <c r="D13" s="9"/>
      <c r="E13" s="9"/>
      <c r="F13" s="8"/>
      <c r="G13" s="9"/>
      <c r="H13" s="8"/>
      <c r="I13" s="9"/>
      <c r="J13" s="10"/>
      <c r="K13" s="8"/>
      <c r="L13" s="8"/>
      <c r="M13" s="8"/>
      <c r="N13" s="8"/>
      <c r="O13" s="11"/>
      <c r="P13" s="12"/>
      <c r="Q13" s="9"/>
      <c r="R13" s="9"/>
      <c r="S13" s="9"/>
      <c r="T13" s="9"/>
      <c r="U13" s="9"/>
      <c r="V13" s="9"/>
    </row>
    <row r="14" spans="1:23" ht="24" customHeight="1">
      <c r="A14" s="7"/>
      <c r="B14" s="8"/>
      <c r="C14" s="8"/>
      <c r="D14" s="9"/>
      <c r="E14" s="9"/>
      <c r="F14" s="8"/>
      <c r="G14" s="9"/>
      <c r="H14" s="8"/>
      <c r="I14" s="9"/>
      <c r="J14" s="10"/>
      <c r="K14" s="8"/>
      <c r="L14" s="8"/>
      <c r="M14" s="8"/>
      <c r="N14" s="8"/>
      <c r="O14" s="11"/>
      <c r="P14" s="12"/>
      <c r="Q14" s="9"/>
      <c r="R14" s="9"/>
      <c r="S14" s="9"/>
      <c r="T14" s="9"/>
      <c r="U14" s="9"/>
      <c r="V14" s="9"/>
    </row>
    <row r="15" spans="1:23" ht="24" customHeight="1">
      <c r="A15" s="7"/>
      <c r="B15" s="8"/>
      <c r="C15" s="8"/>
      <c r="D15" s="9"/>
      <c r="E15" s="9"/>
      <c r="F15" s="8"/>
      <c r="G15" s="9"/>
      <c r="H15" s="8"/>
      <c r="I15" s="9"/>
      <c r="J15" s="10"/>
      <c r="K15" s="8"/>
      <c r="L15" s="8"/>
      <c r="M15" s="8"/>
      <c r="N15" s="8"/>
      <c r="O15" s="11"/>
      <c r="P15" s="12"/>
      <c r="Q15" s="9"/>
      <c r="R15" s="9"/>
      <c r="S15" s="9"/>
      <c r="T15" s="9"/>
      <c r="U15" s="9"/>
      <c r="V15" s="9"/>
    </row>
    <row r="16" spans="1:23" ht="24" customHeight="1">
      <c r="A16" s="7"/>
      <c r="B16" s="8"/>
      <c r="C16" s="8"/>
      <c r="D16" s="9"/>
      <c r="E16" s="9"/>
      <c r="F16" s="8"/>
      <c r="G16" s="9"/>
      <c r="H16" s="8"/>
      <c r="I16" s="9"/>
      <c r="J16" s="10"/>
      <c r="K16" s="8"/>
      <c r="L16" s="8"/>
      <c r="M16" s="8"/>
      <c r="N16" s="8"/>
      <c r="O16" s="11"/>
      <c r="P16" s="12"/>
      <c r="Q16" s="9"/>
      <c r="R16" s="9"/>
      <c r="S16" s="9"/>
      <c r="T16" s="9"/>
      <c r="U16" s="9"/>
      <c r="V16" s="9"/>
    </row>
    <row r="17" spans="1:22" ht="24" customHeight="1">
      <c r="A17" s="7"/>
      <c r="B17" s="8"/>
      <c r="C17" s="8"/>
      <c r="D17" s="9"/>
      <c r="E17" s="9"/>
      <c r="F17" s="8"/>
      <c r="G17" s="9"/>
      <c r="H17" s="8"/>
      <c r="I17" s="9"/>
      <c r="J17" s="10"/>
      <c r="K17" s="8"/>
      <c r="L17" s="8"/>
      <c r="M17" s="8"/>
      <c r="N17" s="8"/>
      <c r="O17" s="11"/>
      <c r="P17" s="12"/>
      <c r="Q17" s="9"/>
      <c r="R17" s="9"/>
      <c r="S17" s="9"/>
      <c r="T17" s="9"/>
      <c r="U17" s="9"/>
      <c r="V17" s="9"/>
    </row>
    <row r="18" spans="1:22" ht="24" customHeight="1">
      <c r="A18" s="7"/>
      <c r="B18" s="8"/>
      <c r="C18" s="8"/>
      <c r="D18" s="9"/>
      <c r="E18" s="9"/>
      <c r="F18" s="8"/>
      <c r="G18" s="9"/>
      <c r="H18" s="8"/>
      <c r="I18" s="9"/>
      <c r="J18" s="10"/>
      <c r="K18" s="8"/>
      <c r="L18" s="8"/>
      <c r="M18" s="8"/>
      <c r="N18" s="8"/>
      <c r="O18" s="11"/>
      <c r="P18" s="12"/>
      <c r="Q18" s="9"/>
      <c r="R18" s="9"/>
      <c r="S18" s="9"/>
      <c r="T18" s="9"/>
      <c r="U18" s="9"/>
      <c r="V18" s="9"/>
    </row>
    <row r="19" spans="1:22" ht="24" customHeight="1">
      <c r="A19" s="7"/>
      <c r="B19" s="8"/>
      <c r="C19" s="8"/>
      <c r="D19" s="9"/>
      <c r="E19" s="9"/>
      <c r="F19" s="8"/>
      <c r="G19" s="9"/>
      <c r="H19" s="8"/>
      <c r="I19" s="9"/>
      <c r="J19" s="10"/>
      <c r="K19" s="8"/>
      <c r="L19" s="8"/>
      <c r="M19" s="8"/>
      <c r="N19" s="8"/>
      <c r="O19" s="11"/>
      <c r="P19" s="12"/>
      <c r="Q19" s="9"/>
      <c r="R19" s="9"/>
      <c r="S19" s="9"/>
      <c r="T19" s="9"/>
      <c r="U19" s="9"/>
      <c r="V19" s="9"/>
    </row>
    <row r="20" spans="1:22" ht="24" customHeight="1">
      <c r="A20" s="7"/>
      <c r="B20" s="8"/>
      <c r="C20" s="8"/>
      <c r="D20" s="9"/>
      <c r="E20" s="9"/>
      <c r="F20" s="8"/>
      <c r="G20" s="9"/>
      <c r="H20" s="8"/>
      <c r="I20" s="9"/>
      <c r="J20" s="10"/>
      <c r="K20" s="8"/>
      <c r="L20" s="8"/>
      <c r="M20" s="8"/>
      <c r="N20" s="8"/>
      <c r="O20" s="11"/>
      <c r="P20" s="12"/>
      <c r="Q20" s="9"/>
      <c r="R20" s="9"/>
      <c r="S20" s="9"/>
      <c r="T20" s="9"/>
      <c r="U20" s="9"/>
      <c r="V20" s="9"/>
    </row>
    <row r="21" spans="1:22" ht="24" customHeight="1">
      <c r="A21" s="7"/>
      <c r="B21" s="8"/>
      <c r="C21" s="8"/>
      <c r="D21" s="9"/>
      <c r="E21" s="9"/>
      <c r="F21" s="8"/>
      <c r="G21" s="9"/>
      <c r="H21" s="8"/>
      <c r="I21" s="9"/>
      <c r="J21" s="10"/>
      <c r="K21" s="8"/>
      <c r="L21" s="8"/>
      <c r="M21" s="8"/>
      <c r="N21" s="8"/>
      <c r="O21" s="11"/>
      <c r="P21" s="12"/>
      <c r="Q21" s="9"/>
      <c r="R21" s="9"/>
      <c r="S21" s="9"/>
      <c r="T21" s="9"/>
      <c r="U21" s="9"/>
      <c r="V21" s="9"/>
    </row>
    <row r="22" spans="1:22" ht="24" customHeight="1">
      <c r="A22" s="7"/>
      <c r="B22" s="8"/>
      <c r="C22" s="8"/>
      <c r="D22" s="9"/>
      <c r="E22" s="9"/>
      <c r="F22" s="8"/>
      <c r="G22" s="9"/>
      <c r="H22" s="8"/>
      <c r="I22" s="9"/>
      <c r="J22" s="10"/>
      <c r="K22" s="8"/>
      <c r="L22" s="8"/>
      <c r="M22" s="8"/>
      <c r="N22" s="8"/>
      <c r="O22" s="11"/>
      <c r="P22" s="12"/>
      <c r="Q22" s="9"/>
      <c r="R22" s="9"/>
      <c r="S22" s="9"/>
      <c r="T22" s="9"/>
      <c r="U22" s="9"/>
      <c r="V22" s="9"/>
    </row>
    <row r="23" spans="1:22" ht="24" customHeight="1">
      <c r="A23" s="7"/>
      <c r="B23" s="8"/>
      <c r="C23" s="8"/>
      <c r="D23" s="9"/>
      <c r="E23" s="9"/>
      <c r="F23" s="8"/>
      <c r="G23" s="9"/>
      <c r="H23" s="8"/>
      <c r="I23" s="9"/>
      <c r="J23" s="10"/>
      <c r="K23" s="8"/>
      <c r="L23" s="8"/>
      <c r="M23" s="8"/>
      <c r="N23" s="8"/>
      <c r="O23" s="11"/>
      <c r="P23" s="12"/>
      <c r="Q23" s="9"/>
      <c r="R23" s="9"/>
      <c r="S23" s="9"/>
      <c r="T23" s="9"/>
      <c r="U23" s="9"/>
      <c r="V23" s="9"/>
    </row>
    <row r="24" spans="1:22" ht="24" customHeight="1">
      <c r="A24" s="7"/>
      <c r="B24" s="8"/>
      <c r="C24" s="8"/>
      <c r="D24" s="9"/>
      <c r="E24" s="9"/>
      <c r="F24" s="8"/>
      <c r="G24" s="9"/>
      <c r="H24" s="8"/>
      <c r="I24" s="9"/>
      <c r="J24" s="10"/>
      <c r="K24" s="8"/>
      <c r="L24" s="8"/>
      <c r="M24" s="8"/>
      <c r="N24" s="8"/>
      <c r="O24" s="11"/>
      <c r="P24" s="12"/>
      <c r="Q24" s="9"/>
      <c r="R24" s="9"/>
      <c r="S24" s="9"/>
      <c r="T24" s="9"/>
      <c r="U24" s="9"/>
      <c r="V24" s="9"/>
    </row>
    <row r="25" spans="1:22" ht="24" customHeight="1">
      <c r="A25" s="7"/>
      <c r="B25" s="8"/>
      <c r="C25" s="8"/>
      <c r="D25" s="9"/>
      <c r="E25" s="9"/>
      <c r="F25" s="8"/>
      <c r="G25" s="9"/>
      <c r="H25" s="8"/>
      <c r="I25" s="9"/>
      <c r="J25" s="10"/>
      <c r="K25" s="8"/>
      <c r="L25" s="8"/>
      <c r="M25" s="8"/>
      <c r="N25" s="8"/>
      <c r="O25" s="11"/>
      <c r="P25" s="12"/>
      <c r="Q25" s="9"/>
      <c r="R25" s="9"/>
      <c r="S25" s="9"/>
      <c r="T25" s="9"/>
      <c r="U25" s="9"/>
      <c r="V25" s="9"/>
    </row>
    <row r="26" spans="1:22" ht="24" customHeight="1">
      <c r="A26" s="7"/>
      <c r="B26" s="8"/>
      <c r="C26" s="8"/>
      <c r="D26" s="9"/>
      <c r="E26" s="9"/>
      <c r="F26" s="8"/>
      <c r="G26" s="9"/>
      <c r="H26" s="8"/>
      <c r="I26" s="9"/>
      <c r="J26" s="10"/>
      <c r="K26" s="8"/>
      <c r="L26" s="8"/>
      <c r="M26" s="8"/>
      <c r="N26" s="8"/>
      <c r="O26" s="11"/>
      <c r="P26" s="12"/>
      <c r="Q26" s="9"/>
      <c r="R26" s="9"/>
      <c r="S26" s="9"/>
      <c r="T26" s="9"/>
      <c r="U26" s="9"/>
      <c r="V26" s="9"/>
    </row>
    <row r="27" spans="1:22" ht="24" customHeight="1">
      <c r="A27" s="7"/>
      <c r="B27" s="8"/>
      <c r="C27" s="8"/>
      <c r="D27" s="9"/>
      <c r="E27" s="9"/>
      <c r="F27" s="8"/>
      <c r="G27" s="9"/>
      <c r="H27" s="8"/>
      <c r="I27" s="9"/>
      <c r="J27" s="10"/>
      <c r="K27" s="8"/>
      <c r="L27" s="8"/>
      <c r="M27" s="8"/>
      <c r="N27" s="8"/>
      <c r="O27" s="11"/>
      <c r="P27" s="12"/>
      <c r="Q27" s="9"/>
      <c r="R27" s="9"/>
      <c r="S27" s="9"/>
      <c r="T27" s="9"/>
      <c r="U27" s="9"/>
      <c r="V27" s="9"/>
    </row>
    <row r="28" spans="1:22" ht="24" customHeight="1">
      <c r="A28" s="7"/>
      <c r="B28" s="8"/>
      <c r="C28" s="8"/>
      <c r="D28" s="9"/>
      <c r="E28" s="9"/>
      <c r="F28" s="8"/>
      <c r="G28" s="9"/>
      <c r="H28" s="8"/>
      <c r="I28" s="9"/>
      <c r="J28" s="10"/>
      <c r="K28" s="8"/>
      <c r="L28" s="8"/>
      <c r="M28" s="8"/>
      <c r="N28" s="8"/>
      <c r="O28" s="11"/>
      <c r="P28" s="12"/>
      <c r="Q28" s="9"/>
      <c r="R28" s="9"/>
      <c r="S28" s="9"/>
      <c r="T28" s="9"/>
      <c r="U28" s="9"/>
      <c r="V28" s="9"/>
    </row>
    <row r="29" spans="1:22" ht="24" customHeight="1">
      <c r="A29" s="7"/>
      <c r="B29" s="8"/>
      <c r="C29" s="8"/>
      <c r="D29" s="9"/>
      <c r="E29" s="9"/>
      <c r="F29" s="8"/>
      <c r="G29" s="9"/>
      <c r="H29" s="8"/>
      <c r="I29" s="9"/>
      <c r="J29" s="10"/>
      <c r="K29" s="8"/>
      <c r="L29" s="8"/>
      <c r="M29" s="8"/>
      <c r="N29" s="8"/>
      <c r="O29" s="11"/>
      <c r="P29" s="12"/>
      <c r="Q29" s="9"/>
      <c r="R29" s="9"/>
      <c r="S29" s="9"/>
      <c r="T29" s="9"/>
      <c r="U29" s="9"/>
      <c r="V29" s="9"/>
    </row>
    <row r="30" spans="1:22" ht="24" customHeight="1">
      <c r="A30" s="7"/>
      <c r="B30" s="8"/>
      <c r="C30" s="8"/>
      <c r="D30" s="9"/>
      <c r="E30" s="9"/>
      <c r="F30" s="8"/>
      <c r="G30" s="9"/>
      <c r="H30" s="8"/>
      <c r="I30" s="9"/>
      <c r="J30" s="10"/>
      <c r="K30" s="8"/>
      <c r="L30" s="8"/>
      <c r="M30" s="8"/>
      <c r="N30" s="8"/>
      <c r="O30" s="11"/>
      <c r="P30" s="12"/>
      <c r="Q30" s="9"/>
      <c r="R30" s="9"/>
      <c r="S30" s="9"/>
      <c r="T30" s="9"/>
      <c r="U30" s="9"/>
      <c r="V30" s="9"/>
    </row>
    <row r="31" spans="1:22" ht="24" customHeight="1">
      <c r="A31" s="7"/>
      <c r="B31" s="8"/>
      <c r="C31" s="8"/>
      <c r="D31" s="9"/>
      <c r="E31" s="9"/>
      <c r="F31" s="8"/>
      <c r="G31" s="9"/>
      <c r="H31" s="8"/>
      <c r="I31" s="9"/>
      <c r="J31" s="10"/>
      <c r="K31" s="8"/>
      <c r="L31" s="8"/>
      <c r="M31" s="8"/>
      <c r="N31" s="8"/>
      <c r="O31" s="11"/>
      <c r="P31" s="12"/>
      <c r="Q31" s="9"/>
      <c r="R31" s="9"/>
      <c r="S31" s="9"/>
      <c r="T31" s="9"/>
      <c r="U31" s="9"/>
      <c r="V31" s="9"/>
    </row>
    <row r="32" spans="1:22" ht="24" customHeight="1">
      <c r="A32" s="7"/>
      <c r="B32" s="8"/>
      <c r="C32" s="8"/>
      <c r="D32" s="9"/>
      <c r="E32" s="9"/>
      <c r="F32" s="8"/>
      <c r="G32" s="9"/>
      <c r="H32" s="8"/>
      <c r="I32" s="9"/>
      <c r="J32" s="10"/>
      <c r="K32" s="8"/>
      <c r="L32" s="8"/>
      <c r="M32" s="8"/>
      <c r="N32" s="8"/>
      <c r="O32" s="11"/>
      <c r="P32" s="12"/>
      <c r="Q32" s="9"/>
      <c r="R32" s="9"/>
      <c r="S32" s="9"/>
      <c r="T32" s="9"/>
      <c r="U32" s="9"/>
      <c r="V32" s="9"/>
    </row>
    <row r="33" spans="1:22" ht="24" customHeight="1">
      <c r="A33" s="7"/>
      <c r="B33" s="8"/>
      <c r="C33" s="8"/>
      <c r="D33" s="9"/>
      <c r="E33" s="9"/>
      <c r="F33" s="8"/>
      <c r="G33" s="9"/>
      <c r="H33" s="8"/>
      <c r="I33" s="9"/>
      <c r="J33" s="10"/>
      <c r="K33" s="8"/>
      <c r="L33" s="8"/>
      <c r="M33" s="8"/>
      <c r="N33" s="8"/>
      <c r="O33" s="11"/>
      <c r="P33" s="12"/>
      <c r="Q33" s="9"/>
      <c r="R33" s="9"/>
      <c r="S33" s="9"/>
      <c r="T33" s="9"/>
      <c r="U33" s="9"/>
      <c r="V33" s="9"/>
    </row>
    <row r="34" spans="1:22" ht="24" customHeight="1">
      <c r="A34" s="7"/>
      <c r="B34" s="8"/>
      <c r="C34" s="8"/>
      <c r="D34" s="9"/>
      <c r="E34" s="9"/>
      <c r="F34" s="8"/>
      <c r="G34" s="9"/>
      <c r="H34" s="8"/>
      <c r="I34" s="9"/>
      <c r="J34" s="10"/>
      <c r="K34" s="8"/>
      <c r="L34" s="8"/>
      <c r="M34" s="8"/>
      <c r="N34" s="8"/>
      <c r="O34" s="11"/>
      <c r="P34" s="12"/>
      <c r="Q34" s="9"/>
      <c r="R34" s="9"/>
      <c r="S34" s="9"/>
      <c r="T34" s="9"/>
      <c r="U34" s="9"/>
      <c r="V34" s="9"/>
    </row>
  </sheetData>
  <conditionalFormatting sqref="A1:E1 A3:E34 G1:V1 G3:V34 H2:V2 A2:F2">
    <cfRule type="cellIs" dxfId="4" priority="8" operator="equal">
      <formula>"?"</formula>
    </cfRule>
  </conditionalFormatting>
  <conditionalFormatting sqref="F3:F34 G2 F1">
    <cfRule type="duplicateValues" dxfId="3" priority="6"/>
  </conditionalFormatting>
  <conditionalFormatting sqref="D3:D1048576 E2 D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31D8-85EA-48F7-8CEE-81E747A5A337}">
  <sheetPr codeName="Лист6"/>
  <dimension ref="A1:S36"/>
  <sheetViews>
    <sheetView showGridLines="0" topLeftCell="F1" zoomScale="70" zoomScaleNormal="70" workbookViewId="0">
      <pane ySplit="2" topLeftCell="A12" activePane="bottomLeft" state="frozen"/>
      <selection pane="bottomLeft" activeCell="S18" sqref="A18:XFD18"/>
    </sheetView>
  </sheetViews>
  <sheetFormatPr defaultRowHeight="14.25"/>
  <cols>
    <col min="1" max="1" width="5.6640625" customWidth="1"/>
    <col min="2" max="2" width="11.53125" customWidth="1"/>
    <col min="3" max="3" width="10.6640625" customWidth="1"/>
    <col min="4" max="4" width="24" customWidth="1"/>
    <col min="5" max="5" width="28.86328125" customWidth="1"/>
    <col min="6" max="6" width="28.33203125" customWidth="1"/>
    <col min="7" max="7" width="14.6640625" customWidth="1"/>
    <col min="8" max="8" width="31.46484375" customWidth="1"/>
    <col min="9" max="10" width="18.86328125" customWidth="1"/>
    <col min="11" max="11" width="11.46484375" customWidth="1"/>
    <col min="12" max="12" width="38.33203125" bestFit="1" customWidth="1"/>
    <col min="13" max="13" width="22.86328125" bestFit="1" customWidth="1"/>
    <col min="14" max="14" width="27.53125" customWidth="1"/>
    <col min="15" max="15" width="32.1328125" bestFit="1" customWidth="1"/>
    <col min="16" max="16" width="22.1328125" bestFit="1" customWidth="1"/>
    <col min="17" max="17" width="22.1328125" customWidth="1"/>
    <col min="18" max="18" width="22.46484375" bestFit="1" customWidth="1"/>
    <col min="19" max="19" width="34.86328125" bestFit="1" customWidth="1"/>
    <col min="20" max="20" width="15.1328125" bestFit="1" customWidth="1"/>
  </cols>
  <sheetData>
    <row r="1" spans="1:19" ht="34.5">
      <c r="A1" s="64" t="s">
        <v>0</v>
      </c>
      <c r="B1" s="65" t="s">
        <v>702</v>
      </c>
      <c r="C1" s="65" t="s">
        <v>701</v>
      </c>
      <c r="D1" s="65" t="s">
        <v>705</v>
      </c>
      <c r="E1" s="65" t="s">
        <v>704</v>
      </c>
      <c r="F1" s="65" t="s">
        <v>703</v>
      </c>
      <c r="G1" s="65" t="s">
        <v>706</v>
      </c>
      <c r="H1" s="65" t="s">
        <v>4</v>
      </c>
      <c r="I1" s="65" t="s">
        <v>707</v>
      </c>
      <c r="J1" s="65" t="s">
        <v>708</v>
      </c>
      <c r="K1" s="65" t="s">
        <v>709</v>
      </c>
      <c r="L1" s="65" t="s">
        <v>710</v>
      </c>
      <c r="M1" s="65" t="s">
        <v>711</v>
      </c>
      <c r="N1" s="65" t="s">
        <v>712</v>
      </c>
      <c r="O1" s="65" t="s">
        <v>713</v>
      </c>
      <c r="P1" s="65" t="s">
        <v>714</v>
      </c>
      <c r="Q1" s="65" t="s">
        <v>715</v>
      </c>
      <c r="R1" s="65" t="s">
        <v>716</v>
      </c>
      <c r="S1" s="66" t="s">
        <v>738</v>
      </c>
    </row>
    <row r="2" spans="1:19" ht="52.15" thickBot="1">
      <c r="A2" s="56" t="s">
        <v>0</v>
      </c>
      <c r="B2" s="67" t="s">
        <v>1</v>
      </c>
      <c r="C2" s="67" t="s">
        <v>8</v>
      </c>
      <c r="D2" s="67" t="s">
        <v>490</v>
      </c>
      <c r="E2" s="67" t="s">
        <v>491</v>
      </c>
      <c r="F2" s="67" t="s">
        <v>9</v>
      </c>
      <c r="G2" s="67" t="s">
        <v>3</v>
      </c>
      <c r="H2" s="67" t="s">
        <v>4</v>
      </c>
      <c r="I2" s="67" t="s">
        <v>107</v>
      </c>
      <c r="J2" s="67" t="s">
        <v>5</v>
      </c>
      <c r="K2" s="67" t="s">
        <v>6</v>
      </c>
      <c r="L2" s="67" t="s">
        <v>488</v>
      </c>
      <c r="M2" s="67" t="s">
        <v>14</v>
      </c>
      <c r="N2" s="67" t="s">
        <v>493</v>
      </c>
      <c r="O2" s="67" t="s">
        <v>492</v>
      </c>
      <c r="P2" s="67" t="s">
        <v>373</v>
      </c>
      <c r="Q2" s="67" t="s">
        <v>7</v>
      </c>
      <c r="R2" s="67" t="s">
        <v>10</v>
      </c>
      <c r="S2" s="55" t="s">
        <v>739</v>
      </c>
    </row>
    <row r="3" spans="1:19" s="14" customFormat="1" ht="48.75" customHeight="1">
      <c r="A3" s="57">
        <v>1</v>
      </c>
      <c r="B3" s="57" t="s">
        <v>404</v>
      </c>
      <c r="C3" s="58" t="s">
        <v>11</v>
      </c>
      <c r="D3" s="59" t="s">
        <v>458</v>
      </c>
      <c r="E3" s="59" t="s">
        <v>416</v>
      </c>
      <c r="F3" s="57" t="s">
        <v>449</v>
      </c>
      <c r="G3" s="58">
        <v>1747</v>
      </c>
      <c r="H3" s="57">
        <v>1747</v>
      </c>
      <c r="I3" s="58" t="s">
        <v>487</v>
      </c>
      <c r="J3" s="57" t="s">
        <v>694</v>
      </c>
      <c r="K3" s="60">
        <v>1570</v>
      </c>
      <c r="L3" s="58" t="s">
        <v>527</v>
      </c>
      <c r="M3" s="58" t="s">
        <v>526</v>
      </c>
      <c r="N3" s="58" t="s">
        <v>525</v>
      </c>
      <c r="O3" s="58" t="s">
        <v>694</v>
      </c>
      <c r="P3" s="61" t="s">
        <v>694</v>
      </c>
      <c r="Q3" s="62" t="s">
        <v>694</v>
      </c>
      <c r="R3" s="57" t="s">
        <v>18</v>
      </c>
      <c r="S3" s="63"/>
    </row>
    <row r="4" spans="1:19" s="14" customFormat="1" ht="48.75" customHeight="1">
      <c r="A4" s="38">
        <v>2</v>
      </c>
      <c r="B4" s="38" t="s">
        <v>405</v>
      </c>
      <c r="C4" s="39" t="s">
        <v>11</v>
      </c>
      <c r="D4" s="40" t="s">
        <v>458</v>
      </c>
      <c r="E4" s="40" t="s">
        <v>416</v>
      </c>
      <c r="F4" s="38" t="s">
        <v>449</v>
      </c>
      <c r="G4" s="39">
        <v>1685</v>
      </c>
      <c r="H4" s="38">
        <v>1685</v>
      </c>
      <c r="I4" s="39" t="s">
        <v>487</v>
      </c>
      <c r="J4" s="38" t="s">
        <v>694</v>
      </c>
      <c r="K4" s="41">
        <v>1570</v>
      </c>
      <c r="L4" s="39" t="s">
        <v>527</v>
      </c>
      <c r="M4" s="39" t="s">
        <v>526</v>
      </c>
      <c r="N4" s="39" t="s">
        <v>525</v>
      </c>
      <c r="O4" s="39" t="s">
        <v>694</v>
      </c>
      <c r="P4" s="42" t="s">
        <v>694</v>
      </c>
      <c r="Q4" s="43" t="s">
        <v>694</v>
      </c>
      <c r="R4" s="38" t="s">
        <v>18</v>
      </c>
      <c r="S4" s="54"/>
    </row>
    <row r="5" spans="1:19" s="14" customFormat="1" ht="48.75" customHeight="1">
      <c r="A5" s="38">
        <v>3</v>
      </c>
      <c r="B5" s="38" t="s">
        <v>406</v>
      </c>
      <c r="C5" s="39" t="s">
        <v>35</v>
      </c>
      <c r="D5" s="40" t="s">
        <v>458</v>
      </c>
      <c r="E5" s="40" t="s">
        <v>416</v>
      </c>
      <c r="F5" s="38" t="s">
        <v>449</v>
      </c>
      <c r="G5" s="39">
        <v>1500</v>
      </c>
      <c r="H5" s="38">
        <v>1500</v>
      </c>
      <c r="I5" s="39" t="s">
        <v>487</v>
      </c>
      <c r="J5" s="38">
        <v>2020</v>
      </c>
      <c r="K5" s="41">
        <v>1570</v>
      </c>
      <c r="L5" s="39" t="s">
        <v>527</v>
      </c>
      <c r="M5" s="39" t="s">
        <v>526</v>
      </c>
      <c r="N5" s="39" t="s">
        <v>525</v>
      </c>
      <c r="O5" s="39" t="s">
        <v>694</v>
      </c>
      <c r="P5" s="42" t="s">
        <v>694</v>
      </c>
      <c r="Q5" s="43" t="s">
        <v>694</v>
      </c>
      <c r="R5" s="38" t="s">
        <v>18</v>
      </c>
      <c r="S5" s="54"/>
    </row>
    <row r="6" spans="1:19" s="14" customFormat="1" ht="48.75" customHeight="1">
      <c r="A6" s="38">
        <v>4</v>
      </c>
      <c r="B6" s="38" t="s">
        <v>407</v>
      </c>
      <c r="C6" s="39" t="s">
        <v>35</v>
      </c>
      <c r="D6" s="40" t="s">
        <v>458</v>
      </c>
      <c r="E6" s="40" t="s">
        <v>416</v>
      </c>
      <c r="F6" s="38" t="s">
        <v>723</v>
      </c>
      <c r="G6" s="39">
        <v>201226</v>
      </c>
      <c r="H6" s="38">
        <v>201226</v>
      </c>
      <c r="I6" s="39" t="s">
        <v>487</v>
      </c>
      <c r="J6" s="38" t="s">
        <v>694</v>
      </c>
      <c r="K6" s="41">
        <v>1800</v>
      </c>
      <c r="L6" s="39" t="s">
        <v>724</v>
      </c>
      <c r="M6" s="39" t="s">
        <v>526</v>
      </c>
      <c r="N6" s="39" t="s">
        <v>525</v>
      </c>
      <c r="O6" s="39" t="s">
        <v>725</v>
      </c>
      <c r="P6" s="42" t="s">
        <v>694</v>
      </c>
      <c r="Q6" s="43" t="s">
        <v>694</v>
      </c>
      <c r="R6" s="38" t="s">
        <v>18</v>
      </c>
      <c r="S6" s="54"/>
    </row>
    <row r="7" spans="1:19" s="14" customFormat="1" ht="48.75" customHeight="1">
      <c r="A7" s="38">
        <v>6</v>
      </c>
      <c r="B7" s="38" t="s">
        <v>408</v>
      </c>
      <c r="C7" s="39" t="s">
        <v>11</v>
      </c>
      <c r="D7" s="40" t="s">
        <v>458</v>
      </c>
      <c r="E7" s="40" t="s">
        <v>416</v>
      </c>
      <c r="F7" s="38" t="s">
        <v>448</v>
      </c>
      <c r="G7" s="39" t="s">
        <v>727</v>
      </c>
      <c r="H7" s="38" t="s">
        <v>727</v>
      </c>
      <c r="I7" s="39" t="s">
        <v>517</v>
      </c>
      <c r="J7" s="38" t="s">
        <v>694</v>
      </c>
      <c r="K7" s="41">
        <v>1700</v>
      </c>
      <c r="L7" s="39" t="s">
        <v>518</v>
      </c>
      <c r="M7" s="39" t="s">
        <v>60</v>
      </c>
      <c r="N7" s="39" t="s">
        <v>519</v>
      </c>
      <c r="O7" s="39" t="s">
        <v>694</v>
      </c>
      <c r="P7" s="42" t="s">
        <v>694</v>
      </c>
      <c r="Q7" s="43" t="s">
        <v>694</v>
      </c>
      <c r="R7" s="38" t="s">
        <v>18</v>
      </c>
      <c r="S7" s="54"/>
    </row>
    <row r="8" spans="1:19" s="14" customFormat="1" ht="48.75" customHeight="1">
      <c r="A8" s="38">
        <v>6</v>
      </c>
      <c r="B8" s="38" t="s">
        <v>409</v>
      </c>
      <c r="C8" s="39" t="s">
        <v>35</v>
      </c>
      <c r="D8" s="40" t="s">
        <v>458</v>
      </c>
      <c r="E8" s="40" t="s">
        <v>416</v>
      </c>
      <c r="F8" s="38" t="s">
        <v>448</v>
      </c>
      <c r="G8" s="39" t="s">
        <v>453</v>
      </c>
      <c r="H8" s="38" t="s">
        <v>453</v>
      </c>
      <c r="I8" s="39" t="s">
        <v>517</v>
      </c>
      <c r="J8" s="38" t="s">
        <v>694</v>
      </c>
      <c r="K8" s="41">
        <v>1700</v>
      </c>
      <c r="L8" s="39" t="s">
        <v>518</v>
      </c>
      <c r="M8" s="39" t="s">
        <v>60</v>
      </c>
      <c r="N8" s="39" t="s">
        <v>519</v>
      </c>
      <c r="O8" s="39" t="s">
        <v>694</v>
      </c>
      <c r="P8" s="42" t="s">
        <v>694</v>
      </c>
      <c r="Q8" s="43" t="s">
        <v>694</v>
      </c>
      <c r="R8" s="38" t="s">
        <v>18</v>
      </c>
      <c r="S8" s="54"/>
    </row>
    <row r="9" spans="1:19" s="14" customFormat="1" ht="48.75" customHeight="1">
      <c r="A9" s="38">
        <v>7</v>
      </c>
      <c r="B9" s="38" t="s">
        <v>410</v>
      </c>
      <c r="C9" s="39" t="s">
        <v>35</v>
      </c>
      <c r="D9" s="40" t="s">
        <v>458</v>
      </c>
      <c r="E9" s="40" t="s">
        <v>416</v>
      </c>
      <c r="F9" s="38" t="s">
        <v>448</v>
      </c>
      <c r="G9" s="39" t="s">
        <v>454</v>
      </c>
      <c r="H9" s="38" t="s">
        <v>454</v>
      </c>
      <c r="I9" s="39" t="s">
        <v>517</v>
      </c>
      <c r="J9" s="38" t="s">
        <v>694</v>
      </c>
      <c r="K9" s="41">
        <v>1700</v>
      </c>
      <c r="L9" s="39" t="s">
        <v>518</v>
      </c>
      <c r="M9" s="39" t="s">
        <v>60</v>
      </c>
      <c r="N9" s="39" t="s">
        <v>519</v>
      </c>
      <c r="O9" s="39" t="s">
        <v>694</v>
      </c>
      <c r="P9" s="42" t="s">
        <v>694</v>
      </c>
      <c r="Q9" s="43" t="s">
        <v>694</v>
      </c>
      <c r="R9" s="38" t="s">
        <v>18</v>
      </c>
      <c r="S9" s="54"/>
    </row>
    <row r="10" spans="1:19" s="14" customFormat="1" ht="48.75" customHeight="1">
      <c r="A10" s="38">
        <v>8</v>
      </c>
      <c r="B10" s="38" t="s">
        <v>411</v>
      </c>
      <c r="C10" s="39" t="s">
        <v>35</v>
      </c>
      <c r="D10" s="20" t="s">
        <v>458</v>
      </c>
      <c r="E10" s="40" t="s">
        <v>416</v>
      </c>
      <c r="F10" s="38" t="s">
        <v>450</v>
      </c>
      <c r="G10" s="39" t="s">
        <v>477</v>
      </c>
      <c r="H10" s="38" t="s">
        <v>477</v>
      </c>
      <c r="I10" s="39" t="s">
        <v>531</v>
      </c>
      <c r="J10" s="38" t="s">
        <v>694</v>
      </c>
      <c r="K10" s="41">
        <v>750</v>
      </c>
      <c r="L10" s="39" t="s">
        <v>530</v>
      </c>
      <c r="M10" s="39" t="s">
        <v>529</v>
      </c>
      <c r="N10" s="39" t="s">
        <v>528</v>
      </c>
      <c r="O10" s="41" t="s">
        <v>694</v>
      </c>
      <c r="P10" s="41" t="s">
        <v>694</v>
      </c>
      <c r="Q10" s="43" t="s">
        <v>694</v>
      </c>
      <c r="R10" s="38" t="s">
        <v>18</v>
      </c>
      <c r="S10" s="54"/>
    </row>
    <row r="11" spans="1:19" s="14" customFormat="1" ht="48.75" customHeight="1">
      <c r="A11" s="38">
        <v>9</v>
      </c>
      <c r="B11" s="38" t="s">
        <v>412</v>
      </c>
      <c r="C11" s="39" t="s">
        <v>35</v>
      </c>
      <c r="D11" s="40" t="s">
        <v>458</v>
      </c>
      <c r="E11" s="40" t="s">
        <v>416</v>
      </c>
      <c r="F11" s="38" t="s">
        <v>450</v>
      </c>
      <c r="G11" s="39" t="s">
        <v>478</v>
      </c>
      <c r="H11" s="38" t="s">
        <v>478</v>
      </c>
      <c r="I11" s="39" t="s">
        <v>531</v>
      </c>
      <c r="J11" s="38" t="s">
        <v>694</v>
      </c>
      <c r="K11" s="41">
        <v>750</v>
      </c>
      <c r="L11" s="39" t="s">
        <v>530</v>
      </c>
      <c r="M11" s="39" t="s">
        <v>529</v>
      </c>
      <c r="N11" s="39" t="s">
        <v>528</v>
      </c>
      <c r="O11" s="39" t="s">
        <v>694</v>
      </c>
      <c r="P11" s="42" t="s">
        <v>694</v>
      </c>
      <c r="Q11" s="43" t="s">
        <v>694</v>
      </c>
      <c r="R11" s="38" t="s">
        <v>18</v>
      </c>
      <c r="S11" s="54"/>
    </row>
    <row r="12" spans="1:19" s="14" customFormat="1" ht="48.75" customHeight="1">
      <c r="A12" s="38">
        <v>10</v>
      </c>
      <c r="B12" s="38" t="s">
        <v>413</v>
      </c>
      <c r="C12" s="39" t="s">
        <v>11</v>
      </c>
      <c r="D12" s="40" t="s">
        <v>458</v>
      </c>
      <c r="E12" s="40" t="s">
        <v>416</v>
      </c>
      <c r="F12" s="38" t="s">
        <v>447</v>
      </c>
      <c r="G12" s="39" t="s">
        <v>456</v>
      </c>
      <c r="H12" s="38" t="s">
        <v>456</v>
      </c>
      <c r="I12" s="42" t="s">
        <v>517</v>
      </c>
      <c r="J12" s="38" t="s">
        <v>694</v>
      </c>
      <c r="K12" s="41">
        <v>680</v>
      </c>
      <c r="L12" s="39" t="s">
        <v>533</v>
      </c>
      <c r="M12" s="43" t="s">
        <v>532</v>
      </c>
      <c r="N12" s="43" t="s">
        <v>534</v>
      </c>
      <c r="O12" s="43" t="s">
        <v>694</v>
      </c>
      <c r="P12" s="42" t="s">
        <v>694</v>
      </c>
      <c r="Q12" s="43" t="s">
        <v>694</v>
      </c>
      <c r="R12" s="38" t="s">
        <v>18</v>
      </c>
      <c r="S12" s="54"/>
    </row>
    <row r="13" spans="1:19" s="14" customFormat="1" ht="48.75" customHeight="1">
      <c r="A13" s="38">
        <v>11</v>
      </c>
      <c r="B13" s="38" t="s">
        <v>414</v>
      </c>
      <c r="C13" s="39" t="s">
        <v>35</v>
      </c>
      <c r="D13" s="40" t="s">
        <v>458</v>
      </c>
      <c r="E13" s="40" t="s">
        <v>416</v>
      </c>
      <c r="F13" s="38" t="s">
        <v>452</v>
      </c>
      <c r="G13" s="39" t="s">
        <v>479</v>
      </c>
      <c r="H13" s="38" t="s">
        <v>479</v>
      </c>
      <c r="I13" s="42" t="s">
        <v>517</v>
      </c>
      <c r="J13" s="38" t="s">
        <v>694</v>
      </c>
      <c r="K13" s="41">
        <v>1830</v>
      </c>
      <c r="L13" s="39" t="s">
        <v>536</v>
      </c>
      <c r="M13" s="43" t="s">
        <v>60</v>
      </c>
      <c r="N13" s="43" t="s">
        <v>535</v>
      </c>
      <c r="O13" s="43" t="s">
        <v>694</v>
      </c>
      <c r="P13" s="42" t="s">
        <v>694</v>
      </c>
      <c r="Q13" s="43" t="s">
        <v>694</v>
      </c>
      <c r="R13" s="38" t="s">
        <v>18</v>
      </c>
      <c r="S13" s="54"/>
    </row>
    <row r="14" spans="1:19" s="14" customFormat="1" ht="48.75" customHeight="1">
      <c r="A14" s="38">
        <v>12</v>
      </c>
      <c r="B14" s="38" t="s">
        <v>415</v>
      </c>
      <c r="C14" s="39" t="s">
        <v>35</v>
      </c>
      <c r="D14" s="40" t="s">
        <v>458</v>
      </c>
      <c r="E14" s="40" t="s">
        <v>416</v>
      </c>
      <c r="F14" s="38" t="s">
        <v>451</v>
      </c>
      <c r="G14" s="39" t="s">
        <v>694</v>
      </c>
      <c r="H14" s="38" t="s">
        <v>694</v>
      </c>
      <c r="I14" s="39" t="s">
        <v>517</v>
      </c>
      <c r="J14" s="38" t="s">
        <v>694</v>
      </c>
      <c r="K14" s="41">
        <v>1600</v>
      </c>
      <c r="L14" s="39" t="s">
        <v>538</v>
      </c>
      <c r="M14" s="39" t="s">
        <v>537</v>
      </c>
      <c r="N14" s="39" t="s">
        <v>534</v>
      </c>
      <c r="O14" s="39" t="s">
        <v>694</v>
      </c>
      <c r="P14" s="41" t="s">
        <v>694</v>
      </c>
      <c r="Q14" s="43" t="s">
        <v>694</v>
      </c>
      <c r="R14" s="38" t="s">
        <v>18</v>
      </c>
      <c r="S14" s="54"/>
    </row>
    <row r="15" spans="1:19" s="14" customFormat="1" ht="48.75" customHeight="1">
      <c r="A15" s="38">
        <v>14</v>
      </c>
      <c r="B15" s="38" t="s">
        <v>728</v>
      </c>
      <c r="C15" s="39" t="s">
        <v>11</v>
      </c>
      <c r="D15" s="40" t="s">
        <v>458</v>
      </c>
      <c r="E15" s="40" t="s">
        <v>416</v>
      </c>
      <c r="F15" s="38" t="s">
        <v>731</v>
      </c>
      <c r="G15" s="39" t="s">
        <v>732</v>
      </c>
      <c r="H15" s="38" t="s">
        <v>732</v>
      </c>
      <c r="I15" s="39" t="s">
        <v>517</v>
      </c>
      <c r="J15" s="38">
        <v>2026</v>
      </c>
      <c r="K15" s="41">
        <v>2500</v>
      </c>
      <c r="L15" s="39" t="s">
        <v>734</v>
      </c>
      <c r="M15" s="39" t="s">
        <v>735</v>
      </c>
      <c r="N15" s="39" t="s">
        <v>736</v>
      </c>
      <c r="O15" s="39"/>
      <c r="P15" s="42" t="s">
        <v>694</v>
      </c>
      <c r="Q15" s="43" t="s">
        <v>694</v>
      </c>
      <c r="R15" s="38" t="s">
        <v>18</v>
      </c>
      <c r="S15" s="54"/>
    </row>
    <row r="16" spans="1:19" s="14" customFormat="1" ht="48.75" customHeight="1">
      <c r="A16" s="38">
        <v>16</v>
      </c>
      <c r="B16" s="38" t="s">
        <v>729</v>
      </c>
      <c r="C16" s="39" t="s">
        <v>11</v>
      </c>
      <c r="D16" s="40" t="s">
        <v>458</v>
      </c>
      <c r="E16" s="40" t="s">
        <v>416</v>
      </c>
      <c r="F16" s="38" t="s">
        <v>731</v>
      </c>
      <c r="G16" s="39" t="s">
        <v>733</v>
      </c>
      <c r="H16" s="38" t="s">
        <v>733</v>
      </c>
      <c r="I16" s="39" t="s">
        <v>517</v>
      </c>
      <c r="J16" s="38">
        <v>2026</v>
      </c>
      <c r="K16" s="41">
        <v>2500</v>
      </c>
      <c r="L16" s="39" t="s">
        <v>734</v>
      </c>
      <c r="M16" s="39" t="s">
        <v>735</v>
      </c>
      <c r="N16" s="39" t="s">
        <v>736</v>
      </c>
      <c r="O16" s="39"/>
      <c r="P16" s="41" t="s">
        <v>694</v>
      </c>
      <c r="Q16" s="43" t="s">
        <v>694</v>
      </c>
      <c r="R16" s="38" t="s">
        <v>18</v>
      </c>
      <c r="S16" s="54"/>
    </row>
    <row r="17" spans="1:19" s="14" customFormat="1" ht="48.75" customHeight="1">
      <c r="A17" s="38">
        <v>16</v>
      </c>
      <c r="B17" s="38" t="s">
        <v>730</v>
      </c>
      <c r="C17" s="39" t="s">
        <v>35</v>
      </c>
      <c r="D17" s="40" t="s">
        <v>458</v>
      </c>
      <c r="E17" s="40" t="s">
        <v>416</v>
      </c>
      <c r="F17" s="38" t="s">
        <v>731</v>
      </c>
      <c r="G17" s="39" t="s">
        <v>737</v>
      </c>
      <c r="H17" s="38" t="s">
        <v>737</v>
      </c>
      <c r="I17" s="39" t="s">
        <v>517</v>
      </c>
      <c r="J17" s="38">
        <v>2026</v>
      </c>
      <c r="K17" s="41">
        <v>2500</v>
      </c>
      <c r="L17" s="39" t="s">
        <v>734</v>
      </c>
      <c r="M17" s="39" t="s">
        <v>735</v>
      </c>
      <c r="N17" s="39" t="s">
        <v>736</v>
      </c>
      <c r="O17" s="39">
        <v>93593325</v>
      </c>
      <c r="P17" s="41" t="s">
        <v>694</v>
      </c>
      <c r="Q17" s="43" t="s">
        <v>694</v>
      </c>
      <c r="R17" s="38" t="s">
        <v>18</v>
      </c>
      <c r="S17" s="54"/>
    </row>
    <row r="18" spans="1:19" s="14" customFormat="1" ht="48.75" customHeight="1">
      <c r="A18" s="38">
        <v>16</v>
      </c>
      <c r="B18" s="38" t="s">
        <v>820</v>
      </c>
      <c r="C18" s="39" t="s">
        <v>35</v>
      </c>
      <c r="D18" s="40" t="s">
        <v>458</v>
      </c>
      <c r="E18" s="40" t="s">
        <v>416</v>
      </c>
      <c r="F18" s="38" t="s">
        <v>823</v>
      </c>
      <c r="G18" s="39" t="s">
        <v>825</v>
      </c>
      <c r="H18" s="38" t="s">
        <v>825</v>
      </c>
      <c r="I18" s="39" t="s">
        <v>517</v>
      </c>
      <c r="J18" s="38">
        <v>2026</v>
      </c>
      <c r="K18" s="41">
        <v>1700</v>
      </c>
      <c r="L18" s="39" t="s">
        <v>824</v>
      </c>
      <c r="M18" s="39" t="s">
        <v>60</v>
      </c>
      <c r="N18" s="39" t="s">
        <v>826</v>
      </c>
      <c r="O18" s="39">
        <v>93651786</v>
      </c>
      <c r="P18" s="41" t="s">
        <v>694</v>
      </c>
      <c r="Q18" s="43" t="s">
        <v>694</v>
      </c>
      <c r="R18" s="38" t="s">
        <v>18</v>
      </c>
      <c r="S18" s="54"/>
    </row>
    <row r="19" spans="1:19" s="14" customFormat="1" ht="48.75" customHeight="1">
      <c r="A19" s="38">
        <v>16</v>
      </c>
      <c r="B19" s="38" t="s">
        <v>821</v>
      </c>
      <c r="C19" s="39" t="s">
        <v>35</v>
      </c>
      <c r="D19" s="40" t="s">
        <v>458</v>
      </c>
      <c r="E19" s="40" t="s">
        <v>416</v>
      </c>
      <c r="F19" s="38" t="s">
        <v>823</v>
      </c>
      <c r="G19" s="39" t="s">
        <v>822</v>
      </c>
      <c r="H19" s="38" t="s">
        <v>822</v>
      </c>
      <c r="I19" s="39" t="s">
        <v>517</v>
      </c>
      <c r="J19" s="38">
        <v>2026</v>
      </c>
      <c r="K19" s="41">
        <v>1700</v>
      </c>
      <c r="L19" s="39" t="s">
        <v>824</v>
      </c>
      <c r="M19" s="39" t="s">
        <v>60</v>
      </c>
      <c r="N19" s="39" t="s">
        <v>826</v>
      </c>
      <c r="O19" s="39">
        <v>93653449</v>
      </c>
      <c r="P19" s="41" t="s">
        <v>694</v>
      </c>
      <c r="Q19" s="43" t="s">
        <v>694</v>
      </c>
      <c r="R19" s="38" t="s">
        <v>18</v>
      </c>
      <c r="S19" s="54"/>
    </row>
    <row r="20" spans="1:19" s="14" customFormat="1" ht="48.75" customHeight="1">
      <c r="A20" s="38">
        <v>16</v>
      </c>
      <c r="B20" s="38" t="s">
        <v>419</v>
      </c>
      <c r="C20" s="39" t="s">
        <v>11</v>
      </c>
      <c r="D20" s="40" t="s">
        <v>460</v>
      </c>
      <c r="E20" s="40" t="s">
        <v>418</v>
      </c>
      <c r="F20" s="38" t="s">
        <v>417</v>
      </c>
      <c r="G20" s="39" t="s">
        <v>437</v>
      </c>
      <c r="H20" s="38" t="s">
        <v>437</v>
      </c>
      <c r="I20" s="39" t="s">
        <v>540</v>
      </c>
      <c r="J20" s="38" t="s">
        <v>694</v>
      </c>
      <c r="K20" s="41">
        <v>694</v>
      </c>
      <c r="L20" s="39" t="s">
        <v>539</v>
      </c>
      <c r="M20" s="39" t="s">
        <v>542</v>
      </c>
      <c r="N20" s="39" t="s">
        <v>541</v>
      </c>
      <c r="O20" s="39" t="s">
        <v>694</v>
      </c>
      <c r="P20" s="41" t="s">
        <v>694</v>
      </c>
      <c r="Q20" s="43" t="s">
        <v>694</v>
      </c>
      <c r="R20" s="38" t="s">
        <v>18</v>
      </c>
      <c r="S20" s="54"/>
    </row>
    <row r="21" spans="1:19" s="14" customFormat="1" ht="48.75" customHeight="1">
      <c r="A21" s="38">
        <v>17</v>
      </c>
      <c r="B21" s="38" t="s">
        <v>420</v>
      </c>
      <c r="C21" s="39" t="s">
        <v>11</v>
      </c>
      <c r="D21" s="40" t="s">
        <v>460</v>
      </c>
      <c r="E21" s="40" t="s">
        <v>418</v>
      </c>
      <c r="F21" s="38" t="s">
        <v>417</v>
      </c>
      <c r="G21" s="39" t="s">
        <v>441</v>
      </c>
      <c r="H21" s="38" t="s">
        <v>441</v>
      </c>
      <c r="I21" s="39" t="s">
        <v>540</v>
      </c>
      <c r="J21" s="38" t="s">
        <v>694</v>
      </c>
      <c r="K21" s="41">
        <v>694</v>
      </c>
      <c r="L21" s="39" t="s">
        <v>539</v>
      </c>
      <c r="M21" s="39" t="s">
        <v>542</v>
      </c>
      <c r="N21" s="39" t="s">
        <v>541</v>
      </c>
      <c r="O21" s="39" t="s">
        <v>694</v>
      </c>
      <c r="P21" s="41" t="s">
        <v>694</v>
      </c>
      <c r="Q21" s="43" t="s">
        <v>694</v>
      </c>
      <c r="R21" s="38" t="s">
        <v>18</v>
      </c>
      <c r="S21" s="54"/>
    </row>
    <row r="22" spans="1:19" s="14" customFormat="1" ht="48.75" customHeight="1">
      <c r="A22" s="38">
        <v>18</v>
      </c>
      <c r="B22" s="38" t="s">
        <v>421</v>
      </c>
      <c r="C22" s="39" t="s">
        <v>11</v>
      </c>
      <c r="D22" s="40" t="s">
        <v>460</v>
      </c>
      <c r="E22" s="40" t="s">
        <v>418</v>
      </c>
      <c r="F22" s="38" t="s">
        <v>417</v>
      </c>
      <c r="G22" s="39" t="s">
        <v>439</v>
      </c>
      <c r="H22" s="38" t="s">
        <v>439</v>
      </c>
      <c r="I22" s="39" t="s">
        <v>540</v>
      </c>
      <c r="J22" s="38" t="s">
        <v>694</v>
      </c>
      <c r="K22" s="41">
        <v>694</v>
      </c>
      <c r="L22" s="39" t="s">
        <v>539</v>
      </c>
      <c r="M22" s="39" t="s">
        <v>542</v>
      </c>
      <c r="N22" s="39" t="s">
        <v>541</v>
      </c>
      <c r="O22" s="39" t="s">
        <v>694</v>
      </c>
      <c r="P22" s="41" t="s">
        <v>694</v>
      </c>
      <c r="Q22" s="43" t="s">
        <v>694</v>
      </c>
      <c r="R22" s="38" t="s">
        <v>18</v>
      </c>
      <c r="S22" s="54"/>
    </row>
    <row r="23" spans="1:19" s="14" customFormat="1" ht="48.75" customHeight="1">
      <c r="A23" s="38">
        <v>19</v>
      </c>
      <c r="B23" s="38" t="s">
        <v>422</v>
      </c>
      <c r="C23" s="39" t="s">
        <v>11</v>
      </c>
      <c r="D23" s="40" t="s">
        <v>460</v>
      </c>
      <c r="E23" s="40" t="s">
        <v>418</v>
      </c>
      <c r="F23" s="38" t="s">
        <v>417</v>
      </c>
      <c r="G23" s="39" t="s">
        <v>436</v>
      </c>
      <c r="H23" s="38" t="s">
        <v>436</v>
      </c>
      <c r="I23" s="39" t="s">
        <v>540</v>
      </c>
      <c r="J23" s="38" t="s">
        <v>694</v>
      </c>
      <c r="K23" s="41">
        <v>694</v>
      </c>
      <c r="L23" s="39" t="s">
        <v>539</v>
      </c>
      <c r="M23" s="39" t="s">
        <v>542</v>
      </c>
      <c r="N23" s="39" t="s">
        <v>541</v>
      </c>
      <c r="O23" s="39" t="s">
        <v>694</v>
      </c>
      <c r="P23" s="41" t="s">
        <v>694</v>
      </c>
      <c r="Q23" s="43" t="s">
        <v>694</v>
      </c>
      <c r="R23" s="38" t="s">
        <v>18</v>
      </c>
      <c r="S23" s="54"/>
    </row>
    <row r="24" spans="1:19" s="14" customFormat="1" ht="48.75" customHeight="1">
      <c r="A24" s="38">
        <v>20</v>
      </c>
      <c r="B24" s="38" t="s">
        <v>423</v>
      </c>
      <c r="C24" s="39" t="s">
        <v>11</v>
      </c>
      <c r="D24" s="40" t="s">
        <v>460</v>
      </c>
      <c r="E24" s="40" t="s">
        <v>418</v>
      </c>
      <c r="F24" s="38" t="s">
        <v>417</v>
      </c>
      <c r="G24" s="39" t="s">
        <v>438</v>
      </c>
      <c r="H24" s="38" t="s">
        <v>438</v>
      </c>
      <c r="I24" s="39" t="s">
        <v>540</v>
      </c>
      <c r="J24" s="38" t="s">
        <v>694</v>
      </c>
      <c r="K24" s="41">
        <v>694</v>
      </c>
      <c r="L24" s="39" t="s">
        <v>539</v>
      </c>
      <c r="M24" s="39" t="s">
        <v>542</v>
      </c>
      <c r="N24" s="39" t="s">
        <v>541</v>
      </c>
      <c r="O24" s="39" t="s">
        <v>694</v>
      </c>
      <c r="P24" s="41" t="s">
        <v>694</v>
      </c>
      <c r="Q24" s="43" t="s">
        <v>694</v>
      </c>
      <c r="R24" s="38" t="s">
        <v>18</v>
      </c>
      <c r="S24" s="54"/>
    </row>
    <row r="25" spans="1:19" s="14" customFormat="1" ht="48.75" customHeight="1">
      <c r="A25" s="38">
        <v>21</v>
      </c>
      <c r="B25" s="38" t="s">
        <v>424</v>
      </c>
      <c r="C25" s="39" t="s">
        <v>11</v>
      </c>
      <c r="D25" s="40" t="s">
        <v>460</v>
      </c>
      <c r="E25" s="40" t="s">
        <v>418</v>
      </c>
      <c r="F25" s="38" t="s">
        <v>417</v>
      </c>
      <c r="G25" s="39" t="s">
        <v>440</v>
      </c>
      <c r="H25" s="44" t="s">
        <v>440</v>
      </c>
      <c r="I25" s="39" t="s">
        <v>540</v>
      </c>
      <c r="J25" s="38" t="s">
        <v>694</v>
      </c>
      <c r="K25" s="41">
        <v>694</v>
      </c>
      <c r="L25" s="39" t="s">
        <v>539</v>
      </c>
      <c r="M25" s="39" t="s">
        <v>542</v>
      </c>
      <c r="N25" s="39" t="s">
        <v>541</v>
      </c>
      <c r="O25" s="41" t="s">
        <v>694</v>
      </c>
      <c r="P25" s="41" t="s">
        <v>694</v>
      </c>
      <c r="Q25" s="43" t="s">
        <v>694</v>
      </c>
      <c r="R25" s="38" t="s">
        <v>18</v>
      </c>
      <c r="S25" s="54"/>
    </row>
    <row r="26" spans="1:19" s="14" customFormat="1" ht="48.75" customHeight="1">
      <c r="A26" s="38">
        <v>22</v>
      </c>
      <c r="B26" s="38" t="s">
        <v>425</v>
      </c>
      <c r="C26" s="39" t="s">
        <v>35</v>
      </c>
      <c r="D26" s="40" t="s">
        <v>460</v>
      </c>
      <c r="E26" s="40" t="s">
        <v>418</v>
      </c>
      <c r="F26" s="38" t="s">
        <v>417</v>
      </c>
      <c r="G26" s="39" t="s">
        <v>442</v>
      </c>
      <c r="H26" s="44" t="s">
        <v>442</v>
      </c>
      <c r="I26" s="39" t="s">
        <v>540</v>
      </c>
      <c r="J26" s="38" t="s">
        <v>694</v>
      </c>
      <c r="K26" s="41">
        <v>694</v>
      </c>
      <c r="L26" s="39" t="s">
        <v>539</v>
      </c>
      <c r="M26" s="39" t="s">
        <v>542</v>
      </c>
      <c r="N26" s="39" t="s">
        <v>541</v>
      </c>
      <c r="O26" s="41" t="s">
        <v>694</v>
      </c>
      <c r="P26" s="41" t="s">
        <v>694</v>
      </c>
      <c r="Q26" s="43" t="s">
        <v>694</v>
      </c>
      <c r="R26" s="38" t="s">
        <v>18</v>
      </c>
      <c r="S26" s="54"/>
    </row>
    <row r="27" spans="1:19" s="14" customFormat="1" ht="48.75" customHeight="1">
      <c r="A27" s="38">
        <v>23</v>
      </c>
      <c r="B27" s="38" t="s">
        <v>426</v>
      </c>
      <c r="C27" s="39" t="s">
        <v>35</v>
      </c>
      <c r="D27" s="40" t="s">
        <v>460</v>
      </c>
      <c r="E27" s="40" t="s">
        <v>418</v>
      </c>
      <c r="F27" s="38" t="s">
        <v>417</v>
      </c>
      <c r="G27" s="39" t="s">
        <v>443</v>
      </c>
      <c r="H27" s="44" t="s">
        <v>443</v>
      </c>
      <c r="I27" s="39" t="s">
        <v>540</v>
      </c>
      <c r="J27" s="38" t="s">
        <v>694</v>
      </c>
      <c r="K27" s="41">
        <v>694</v>
      </c>
      <c r="L27" s="39" t="s">
        <v>539</v>
      </c>
      <c r="M27" s="39" t="s">
        <v>542</v>
      </c>
      <c r="N27" s="39" t="s">
        <v>541</v>
      </c>
      <c r="O27" s="41" t="s">
        <v>694</v>
      </c>
      <c r="P27" s="41" t="s">
        <v>694</v>
      </c>
      <c r="Q27" s="43" t="s">
        <v>694</v>
      </c>
      <c r="R27" s="38" t="s">
        <v>18</v>
      </c>
      <c r="S27" s="54"/>
    </row>
    <row r="28" spans="1:19" s="14" customFormat="1" ht="48.75" customHeight="1">
      <c r="A28" s="38">
        <v>24</v>
      </c>
      <c r="B28" s="38" t="s">
        <v>427</v>
      </c>
      <c r="C28" s="39" t="s">
        <v>35</v>
      </c>
      <c r="D28" s="40" t="s">
        <v>460</v>
      </c>
      <c r="E28" s="40" t="s">
        <v>418</v>
      </c>
      <c r="F28" s="38" t="s">
        <v>417</v>
      </c>
      <c r="G28" s="39" t="s">
        <v>444</v>
      </c>
      <c r="H28" s="44" t="s">
        <v>444</v>
      </c>
      <c r="I28" s="39" t="s">
        <v>540</v>
      </c>
      <c r="J28" s="38" t="s">
        <v>694</v>
      </c>
      <c r="K28" s="41">
        <v>694</v>
      </c>
      <c r="L28" s="39" t="s">
        <v>539</v>
      </c>
      <c r="M28" s="39" t="s">
        <v>542</v>
      </c>
      <c r="N28" s="39" t="s">
        <v>541</v>
      </c>
      <c r="O28" s="41" t="s">
        <v>694</v>
      </c>
      <c r="P28" s="41" t="s">
        <v>694</v>
      </c>
      <c r="Q28" s="43" t="s">
        <v>694</v>
      </c>
      <c r="R28" s="38" t="s">
        <v>18</v>
      </c>
      <c r="S28" s="54"/>
    </row>
    <row r="29" spans="1:19" s="14" customFormat="1" ht="48.75" customHeight="1">
      <c r="A29" s="38">
        <v>25</v>
      </c>
      <c r="B29" s="38" t="s">
        <v>428</v>
      </c>
      <c r="C29" s="39" t="s">
        <v>35</v>
      </c>
      <c r="D29" s="40" t="s">
        <v>460</v>
      </c>
      <c r="E29" s="40" t="s">
        <v>418</v>
      </c>
      <c r="F29" s="38" t="s">
        <v>417</v>
      </c>
      <c r="G29" s="39" t="s">
        <v>445</v>
      </c>
      <c r="H29" s="44" t="s">
        <v>445</v>
      </c>
      <c r="I29" s="39" t="s">
        <v>540</v>
      </c>
      <c r="J29" s="38" t="s">
        <v>694</v>
      </c>
      <c r="K29" s="41">
        <v>694</v>
      </c>
      <c r="L29" s="39" t="s">
        <v>539</v>
      </c>
      <c r="M29" s="39" t="s">
        <v>542</v>
      </c>
      <c r="N29" s="39" t="s">
        <v>541</v>
      </c>
      <c r="O29" s="41" t="s">
        <v>694</v>
      </c>
      <c r="P29" s="41" t="s">
        <v>694</v>
      </c>
      <c r="Q29" s="43" t="s">
        <v>694</v>
      </c>
      <c r="R29" s="38" t="s">
        <v>18</v>
      </c>
      <c r="S29" s="54"/>
    </row>
    <row r="30" spans="1:19" s="14" customFormat="1" ht="48.75" customHeight="1">
      <c r="A30" s="38">
        <v>26</v>
      </c>
      <c r="B30" s="38" t="s">
        <v>429</v>
      </c>
      <c r="C30" s="39" t="s">
        <v>35</v>
      </c>
      <c r="D30" s="40" t="s">
        <v>460</v>
      </c>
      <c r="E30" s="40" t="s">
        <v>418</v>
      </c>
      <c r="F30" s="38" t="s">
        <v>417</v>
      </c>
      <c r="G30" s="39" t="s">
        <v>446</v>
      </c>
      <c r="H30" s="44" t="s">
        <v>446</v>
      </c>
      <c r="I30" s="39" t="s">
        <v>540</v>
      </c>
      <c r="J30" s="38" t="s">
        <v>694</v>
      </c>
      <c r="K30" s="41">
        <v>694</v>
      </c>
      <c r="L30" s="39" t="s">
        <v>539</v>
      </c>
      <c r="M30" s="39" t="s">
        <v>542</v>
      </c>
      <c r="N30" s="39" t="s">
        <v>541</v>
      </c>
      <c r="O30" s="41" t="s">
        <v>694</v>
      </c>
      <c r="P30" s="41" t="s">
        <v>694</v>
      </c>
      <c r="Q30" s="43" t="s">
        <v>694</v>
      </c>
      <c r="R30" s="38" t="s">
        <v>18</v>
      </c>
      <c r="S30" s="54"/>
    </row>
    <row r="31" spans="1:19" s="14" customFormat="1" ht="48.75" customHeight="1">
      <c r="A31" s="38">
        <v>27</v>
      </c>
      <c r="B31" s="38" t="s">
        <v>430</v>
      </c>
      <c r="C31" s="39" t="s">
        <v>11</v>
      </c>
      <c r="D31" s="40" t="s">
        <v>460</v>
      </c>
      <c r="E31" s="40" t="s">
        <v>418</v>
      </c>
      <c r="F31" s="38" t="s">
        <v>435</v>
      </c>
      <c r="G31" s="39">
        <v>10004334</v>
      </c>
      <c r="H31" s="44">
        <v>10004334</v>
      </c>
      <c r="I31" s="39" t="s">
        <v>540</v>
      </c>
      <c r="J31" s="38" t="s">
        <v>694</v>
      </c>
      <c r="K31" s="41">
        <v>719</v>
      </c>
      <c r="L31" s="39" t="s">
        <v>543</v>
      </c>
      <c r="M31" s="39" t="s">
        <v>694</v>
      </c>
      <c r="N31" s="39" t="s">
        <v>694</v>
      </c>
      <c r="O31" s="39" t="s">
        <v>694</v>
      </c>
      <c r="P31" s="41" t="s">
        <v>694</v>
      </c>
      <c r="Q31" s="43" t="s">
        <v>694</v>
      </c>
      <c r="R31" s="38" t="s">
        <v>18</v>
      </c>
      <c r="S31" s="54"/>
    </row>
    <row r="32" spans="1:19" s="14" customFormat="1" ht="48.75" customHeight="1">
      <c r="A32" s="38">
        <v>28</v>
      </c>
      <c r="B32" s="38" t="s">
        <v>431</v>
      </c>
      <c r="C32" s="39" t="s">
        <v>11</v>
      </c>
      <c r="D32" s="40" t="s">
        <v>460</v>
      </c>
      <c r="E32" s="40" t="s">
        <v>418</v>
      </c>
      <c r="F32" s="38" t="s">
        <v>435</v>
      </c>
      <c r="G32" s="39">
        <v>10004329</v>
      </c>
      <c r="H32" s="44">
        <v>10004329</v>
      </c>
      <c r="I32" s="39" t="s">
        <v>540</v>
      </c>
      <c r="J32" s="38" t="s">
        <v>694</v>
      </c>
      <c r="K32" s="41">
        <v>719</v>
      </c>
      <c r="L32" s="39" t="s">
        <v>543</v>
      </c>
      <c r="M32" s="39" t="s">
        <v>694</v>
      </c>
      <c r="N32" s="39" t="s">
        <v>694</v>
      </c>
      <c r="O32" s="39" t="s">
        <v>694</v>
      </c>
      <c r="P32" s="41" t="s">
        <v>694</v>
      </c>
      <c r="Q32" s="43" t="s">
        <v>694</v>
      </c>
      <c r="R32" s="38" t="s">
        <v>18</v>
      </c>
      <c r="S32" s="54"/>
    </row>
    <row r="33" spans="1:19" s="14" customFormat="1" ht="48.75" customHeight="1">
      <c r="A33" s="38">
        <v>29</v>
      </c>
      <c r="B33" s="38" t="s">
        <v>432</v>
      </c>
      <c r="C33" s="39" t="s">
        <v>11</v>
      </c>
      <c r="D33" s="40" t="s">
        <v>460</v>
      </c>
      <c r="E33" s="40" t="s">
        <v>418</v>
      </c>
      <c r="F33" s="38" t="s">
        <v>435</v>
      </c>
      <c r="G33" s="39">
        <v>16000388</v>
      </c>
      <c r="H33" s="44">
        <v>16000388</v>
      </c>
      <c r="I33" s="39" t="s">
        <v>540</v>
      </c>
      <c r="J33" s="38" t="s">
        <v>694</v>
      </c>
      <c r="K33" s="41">
        <v>719</v>
      </c>
      <c r="L33" s="39" t="s">
        <v>543</v>
      </c>
      <c r="M33" s="39" t="s">
        <v>694</v>
      </c>
      <c r="N33" s="39" t="s">
        <v>694</v>
      </c>
      <c r="O33" s="39" t="s">
        <v>694</v>
      </c>
      <c r="P33" s="41" t="s">
        <v>694</v>
      </c>
      <c r="Q33" s="43" t="s">
        <v>694</v>
      </c>
      <c r="R33" s="38" t="s">
        <v>18</v>
      </c>
      <c r="S33" s="54"/>
    </row>
    <row r="34" spans="1:19" s="14" customFormat="1" ht="48.75" customHeight="1">
      <c r="A34" s="38">
        <v>30</v>
      </c>
      <c r="B34" s="38" t="s">
        <v>433</v>
      </c>
      <c r="C34" s="39" t="s">
        <v>35</v>
      </c>
      <c r="D34" s="40" t="s">
        <v>462</v>
      </c>
      <c r="E34" s="40" t="s">
        <v>463</v>
      </c>
      <c r="F34" s="38" t="s">
        <v>455</v>
      </c>
      <c r="G34" s="39" t="s">
        <v>694</v>
      </c>
      <c r="H34" s="44" t="s">
        <v>694</v>
      </c>
      <c r="I34" s="39" t="s">
        <v>545</v>
      </c>
      <c r="J34" s="38">
        <v>2021</v>
      </c>
      <c r="K34" s="41">
        <v>2685</v>
      </c>
      <c r="L34" s="39" t="s">
        <v>546</v>
      </c>
      <c r="M34" s="39" t="s">
        <v>547</v>
      </c>
      <c r="N34" s="39" t="s">
        <v>544</v>
      </c>
      <c r="O34" s="39" t="s">
        <v>544</v>
      </c>
      <c r="P34" s="41" t="s">
        <v>747</v>
      </c>
      <c r="Q34" s="43" t="s">
        <v>694</v>
      </c>
      <c r="R34" s="38" t="s">
        <v>18</v>
      </c>
      <c r="S34" s="54"/>
    </row>
    <row r="35" spans="1:19" s="14" customFormat="1" ht="48.75" customHeight="1">
      <c r="A35" s="38">
        <v>31</v>
      </c>
      <c r="B35" s="38" t="s">
        <v>434</v>
      </c>
      <c r="C35" s="39" t="s">
        <v>467</v>
      </c>
      <c r="D35" s="40" t="s">
        <v>462</v>
      </c>
      <c r="E35" s="40" t="s">
        <v>463</v>
      </c>
      <c r="F35" s="38" t="s">
        <v>464</v>
      </c>
      <c r="G35" s="39">
        <v>1907643</v>
      </c>
      <c r="H35" s="44">
        <v>1907643</v>
      </c>
      <c r="I35" s="39" t="s">
        <v>694</v>
      </c>
      <c r="J35" s="38" t="s">
        <v>694</v>
      </c>
      <c r="K35" s="41" t="s">
        <v>694</v>
      </c>
      <c r="L35" s="39" t="s">
        <v>694</v>
      </c>
      <c r="M35" s="39" t="s">
        <v>694</v>
      </c>
      <c r="N35" s="39" t="s">
        <v>694</v>
      </c>
      <c r="O35" s="39" t="s">
        <v>694</v>
      </c>
      <c r="P35" s="41" t="s">
        <v>694</v>
      </c>
      <c r="Q35" s="43" t="s">
        <v>694</v>
      </c>
      <c r="R35" s="38" t="s">
        <v>18</v>
      </c>
      <c r="S35" s="54"/>
    </row>
    <row r="36" spans="1:19" s="14" customFormat="1" ht="48.75" customHeight="1">
      <c r="A36" s="38">
        <v>32</v>
      </c>
      <c r="B36" s="38" t="s">
        <v>465</v>
      </c>
      <c r="C36" s="39" t="s">
        <v>467</v>
      </c>
      <c r="D36" s="40" t="s">
        <v>462</v>
      </c>
      <c r="E36" s="40" t="s">
        <v>463</v>
      </c>
      <c r="F36" s="38" t="s">
        <v>466</v>
      </c>
      <c r="G36" s="39" t="s">
        <v>694</v>
      </c>
      <c r="H36" s="38" t="s">
        <v>694</v>
      </c>
      <c r="I36" s="39" t="s">
        <v>548</v>
      </c>
      <c r="J36" s="38" t="s">
        <v>694</v>
      </c>
      <c r="K36" s="41">
        <v>1540</v>
      </c>
      <c r="L36" s="39" t="s">
        <v>549</v>
      </c>
      <c r="M36" s="39" t="s">
        <v>743</v>
      </c>
      <c r="N36" s="39" t="s">
        <v>744</v>
      </c>
      <c r="O36" s="41" t="s">
        <v>742</v>
      </c>
      <c r="P36" s="41" t="s">
        <v>694</v>
      </c>
      <c r="Q36" s="43" t="s">
        <v>694</v>
      </c>
      <c r="R36" s="38" t="s">
        <v>18</v>
      </c>
      <c r="S36" s="42" t="s">
        <v>745</v>
      </c>
    </row>
  </sheetData>
  <conditionalFormatting sqref="G3:G36">
    <cfRule type="duplicateValues" dxfId="1" priority="98"/>
  </conditionalFormatting>
  <conditionalFormatting sqref="H3:H36">
    <cfRule type="duplicateValues" dxfId="0" priority="99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CC9B-0405-43C7-80C3-CA261FF656AA}">
  <sheetPr codeName="Лист7"/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6DEF99-A611-43FD-A19B-519E3C8B3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Svodka (Özet Tablo)</vt:lpstr>
      <vt:lpstr>Ekipman Listesi</vt:lpstr>
      <vt:lpstr>Kiralık Ekipman Listesi</vt:lpstr>
      <vt:lpstr>Kiradan Çıkartılan Ekipmanlar</vt:lpstr>
      <vt:lpstr>Satlan ve Hurdaya cikanlar</vt:lpstr>
      <vt:lpstr>Jeneratör Grubu</vt:lpstr>
      <vt:lpstr>Toplam Ekipman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Yildiz</dc:creator>
  <cp:lastModifiedBy>Cavidan</cp:lastModifiedBy>
  <cp:lastPrinted>2026-08-11T14:07:03Z</cp:lastPrinted>
  <dcterms:created xsi:type="dcterms:W3CDTF">2026-01-21T13:13:21Z</dcterms:created>
  <dcterms:modified xsi:type="dcterms:W3CDTF">2026-10-19T12:13:08Z</dcterms:modified>
</cp:coreProperties>
</file>